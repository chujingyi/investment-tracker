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#,##0;(#,##0);&quot;-&quot;"/>
    <numFmt numFmtId="166" formatCode="$#,##0.0"/>
    <numFmt numFmtId="167" formatCode="0.0%"/>
    <numFmt numFmtId="168" formatCode="#,##0.0"/>
    <numFmt numFmtId="169" formatCode="0.0%;(0.0%);&quot;-&quot;"/>
    <numFmt numFmtId="170" formatCode="$#,##0.00"/>
    <numFmt numFmtId="171" formatCode="0.0x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9"/>
    </font>
    <font>
      <name val="Arial"/>
      <color rgb="00008000"/>
      <sz val="9"/>
    </font>
    <font>
      <name val="Arial"/>
      <b val="1"/>
      <sz val="9"/>
    </font>
    <font>
      <name val="Arial"/>
      <sz val="8.5"/>
    </font>
    <font>
      <name val="Arial"/>
      <i val="1"/>
      <sz val="8"/>
    </font>
    <font>
      <name val="Arial"/>
      <b val="1"/>
      <color rgb="00008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AAAAA"/>
      </patternFill>
    </fill>
    <fill>
      <patternFill patternType="solid">
        <fgColor rgb="00BDD7EE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44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right" vertical="center"/>
    </xf>
    <xf numFmtId="0" fontId="0" fillId="4" borderId="0" pivotButton="0" quotePrefix="0" xfId="0"/>
    <xf numFmtId="169" fontId="3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70" fontId="3" fillId="4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164" fontId="3" fillId="7" borderId="0" applyAlignment="1" pivotButton="0" quotePrefix="0" xfId="0">
      <alignment horizontal="right" vertical="center"/>
    </xf>
    <xf numFmtId="0" fontId="0" fillId="7" borderId="0" pivotButton="0" quotePrefix="0" xfId="0"/>
    <xf numFmtId="170" fontId="3" fillId="0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171" fontId="3" fillId="0" borderId="0" applyAlignment="1" pivotButton="0" quotePrefix="0" xfId="0">
      <alignment horizontal="right" vertical="center"/>
    </xf>
    <xf numFmtId="167" fontId="6" fillId="10" borderId="0" applyAlignment="1" pivotButton="0" quotePrefix="0" xfId="0">
      <alignment horizontal="right" vertical="center"/>
    </xf>
    <xf numFmtId="164" fontId="6" fillId="1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7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4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167" fontId="3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/>
    </xf>
    <xf numFmtId="0" fontId="5" fillId="6" borderId="0" applyAlignment="1" pivotButton="0" quotePrefix="0" xfId="0">
      <alignment horizontal="left" vertical="center"/>
    </xf>
    <xf numFmtId="167" fontId="11" fillId="6" borderId="0" applyAlignment="1" pivotButton="0" quotePrefix="0" xfId="0">
      <alignment horizontal="right"/>
    </xf>
    <xf numFmtId="0" fontId="0" fillId="6" borderId="0" pivotButton="0" quotePrefix="0" xfId="0"/>
    <xf numFmtId="164" fontId="11" fillId="6" borderId="0" applyAlignment="1" pivotButton="0" quotePrefix="0" xfId="0">
      <alignment horizontal="right"/>
    </xf>
    <xf numFmtId="168" fontId="11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CONSTELLATION ENERGY (CEG) — REVENUE MODEL  |  $ in millions</t>
        </is>
      </c>
    </row>
    <row r="2">
      <c r="A2" s="2" t="inlineStr">
        <is>
          <t>Source: SEC EDGAR 10-K/10-Q filings; Analyst consensus; Company press releases</t>
        </is>
      </c>
    </row>
    <row r="4" ht="16" customHeight="1">
      <c r="A4" s="3" t="inlineStr"/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2025A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6" ht="16" customHeight="1">
      <c r="A6" s="4" t="inlineStr">
        <is>
          <t>A. REVENUE BY BUSINESS SEGMENT ($M)</t>
        </is>
      </c>
    </row>
    <row r="8">
      <c r="A8" s="5" t="inlineStr">
        <is>
          <t xml:space="preserve">  Nuclear Generation (Wholesale + PPA)</t>
        </is>
      </c>
      <c r="B8" s="6" t="n">
        <v>16078</v>
      </c>
      <c r="C8" s="6" t="n">
        <v>15620</v>
      </c>
      <c r="D8" s="6" t="n">
        <v>15820</v>
      </c>
      <c r="E8" s="6" t="n">
        <v>17200</v>
      </c>
      <c r="F8" s="6" t="n">
        <v>22100</v>
      </c>
      <c r="G8" s="6" t="n">
        <v>23500</v>
      </c>
      <c r="H8" s="6" t="n">
        <v>24900</v>
      </c>
      <c r="I8" s="6" t="n">
        <v>26300</v>
      </c>
    </row>
    <row r="9">
      <c r="A9" s="7" t="inlineStr">
        <is>
          <t xml:space="preserve">    Nuclear Generation Volume (GWh)</t>
        </is>
      </c>
      <c r="B9" s="8" t="n">
        <v>177300</v>
      </c>
      <c r="C9" s="8" t="n">
        <v>178500</v>
      </c>
      <c r="D9" s="8" t="n">
        <v>180900</v>
      </c>
      <c r="E9" s="8" t="n">
        <v>182690</v>
      </c>
      <c r="F9" s="8" t="n">
        <v>185000</v>
      </c>
      <c r="G9" s="8" t="n">
        <v>187000</v>
      </c>
      <c r="H9" s="8" t="n">
        <v>189000</v>
      </c>
      <c r="I9" s="8" t="n">
        <v>191000</v>
      </c>
    </row>
    <row r="10">
      <c r="A10" s="7" t="inlineStr">
        <is>
          <t xml:space="preserve">    Avg. Realized Price incl. PTC ($/MWh)</t>
        </is>
      </c>
      <c r="B10" s="9" t="n">
        <v>90.7</v>
      </c>
      <c r="C10" s="9" t="n">
        <v>87.5</v>
      </c>
      <c r="D10" s="9" t="n">
        <v>87.40000000000001</v>
      </c>
      <c r="E10" s="9" t="n">
        <v>94.2</v>
      </c>
      <c r="F10" s="9" t="n">
        <v>119.5</v>
      </c>
      <c r="G10" s="9" t="n">
        <v>125.7</v>
      </c>
      <c r="H10" s="9" t="n">
        <v>131.7</v>
      </c>
      <c r="I10" s="9" t="n">
        <v>137.7</v>
      </c>
    </row>
    <row r="11">
      <c r="A11" s="7" t="inlineStr">
        <is>
          <t xml:space="preserve">    Capacity Factor (%)</t>
        </is>
      </c>
      <c r="B11" s="10" t="n">
        <v>0.906</v>
      </c>
      <c r="C11" s="10" t="n">
        <v>0.912</v>
      </c>
      <c r="D11" s="10" t="n">
        <v>0.921</v>
      </c>
      <c r="E11" s="10" t="n">
        <v>0.923</v>
      </c>
      <c r="F11" s="10" t="n">
        <v>0.925</v>
      </c>
      <c r="G11" s="10" t="n">
        <v>0.927</v>
      </c>
      <c r="H11" s="10" t="n">
        <v>0.929</v>
      </c>
      <c r="I11" s="10" t="n">
        <v>0.93</v>
      </c>
    </row>
    <row r="12">
      <c r="A12" s="5" t="inlineStr">
        <is>
          <t xml:space="preserve">  Natural Gas Generation (Calpine Fleet)</t>
        </is>
      </c>
      <c r="B12" s="6" t="n">
        <v>2350</v>
      </c>
      <c r="C12" s="6" t="n">
        <v>2280</v>
      </c>
      <c r="D12" s="6" t="n">
        <v>2100</v>
      </c>
      <c r="E12" s="6" t="n">
        <v>2050</v>
      </c>
      <c r="F12" s="6" t="n">
        <v>9800</v>
      </c>
      <c r="G12" s="6" t="n">
        <v>10400</v>
      </c>
      <c r="H12" s="6" t="n">
        <v>10900</v>
      </c>
      <c r="I12" s="6" t="n">
        <v>11300</v>
      </c>
    </row>
    <row r="13">
      <c r="A13" s="7" t="inlineStr">
        <is>
          <t xml:space="preserve">    Calpine fleet capacity (GW)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26</v>
      </c>
      <c r="G13" s="11" t="n">
        <v>26</v>
      </c>
      <c r="H13" s="11" t="n">
        <v>26.5</v>
      </c>
      <c r="I13" s="11" t="n">
        <v>27</v>
      </c>
    </row>
    <row r="14">
      <c r="A14" s="5" t="inlineStr">
        <is>
          <t xml:space="preserve">  Renewable Energy (Wind/Solar/Hydro/Geo)</t>
        </is>
      </c>
      <c r="B14" s="6" t="n">
        <v>850</v>
      </c>
      <c r="C14" s="6" t="n">
        <v>830</v>
      </c>
      <c r="D14" s="6" t="n">
        <v>810</v>
      </c>
      <c r="E14" s="6" t="n">
        <v>820</v>
      </c>
      <c r="F14" s="6" t="n">
        <v>900</v>
      </c>
      <c r="G14" s="6" t="n">
        <v>1000</v>
      </c>
      <c r="H14" s="6" t="n">
        <v>1100</v>
      </c>
      <c r="I14" s="6" t="n">
        <v>1200</v>
      </c>
    </row>
    <row r="15">
      <c r="A15" s="5" t="inlineStr">
        <is>
          <t xml:space="preserve">  Retail Energy Supply (C&amp;I + Residential)</t>
        </is>
      </c>
      <c r="B15" s="6" t="n">
        <v>3500</v>
      </c>
      <c r="C15" s="6" t="n">
        <v>3400</v>
      </c>
      <c r="D15" s="6" t="n">
        <v>3300</v>
      </c>
      <c r="E15" s="6" t="n">
        <v>3500</v>
      </c>
      <c r="F15" s="6" t="n">
        <v>3900</v>
      </c>
      <c r="G15" s="6" t="n">
        <v>4100</v>
      </c>
      <c r="H15" s="6" t="n">
        <v>4300</v>
      </c>
      <c r="I15" s="6" t="n">
        <v>4500</v>
      </c>
    </row>
    <row r="16">
      <c r="A16" s="7" t="inlineStr">
        <is>
          <t xml:space="preserve">    Retail Customer Accounts (000s)</t>
        </is>
      </c>
      <c r="B16" s="8" t="n">
        <v>2600</v>
      </c>
      <c r="C16" s="8" t="n">
        <v>2550</v>
      </c>
      <c r="D16" s="8" t="n">
        <v>2500</v>
      </c>
      <c r="E16" s="8" t="n">
        <v>2500</v>
      </c>
      <c r="F16" s="8" t="n">
        <v>2700</v>
      </c>
      <c r="G16" s="8" t="n">
        <v>2750</v>
      </c>
      <c r="H16" s="8" t="n">
        <v>2800</v>
      </c>
      <c r="I16" s="8" t="n">
        <v>2850</v>
      </c>
    </row>
    <row r="17">
      <c r="A17" s="5" t="inlineStr">
        <is>
          <t xml:space="preserve">  Energy Services &amp; Government Contracts</t>
        </is>
      </c>
      <c r="B17" s="6" t="n">
        <v>1502</v>
      </c>
      <c r="C17" s="6" t="n">
        <v>1438</v>
      </c>
      <c r="D17" s="6" t="n">
        <v>1540</v>
      </c>
      <c r="E17" s="6" t="n">
        <v>1960</v>
      </c>
      <c r="F17" s="6" t="n">
        <v>2300</v>
      </c>
      <c r="G17" s="6" t="n">
        <v>2500</v>
      </c>
      <c r="H17" s="6" t="n">
        <v>2700</v>
      </c>
      <c r="I17" s="6" t="n">
        <v>2900</v>
      </c>
    </row>
    <row r="18">
      <c r="A18" s="5" t="inlineStr">
        <is>
          <t xml:space="preserve">  Purchased Power Trading (net)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-4600</v>
      </c>
      <c r="G18" s="6" t="n">
        <v>-5000</v>
      </c>
      <c r="H18" s="6" t="n">
        <v>-5400</v>
      </c>
      <c r="I18" s="6" t="n">
        <v>-5700</v>
      </c>
    </row>
    <row r="20">
      <c r="A20" s="12" t="inlineStr">
        <is>
          <t>TOTAL REVENUE ($M)</t>
        </is>
      </c>
      <c r="B20" s="13">
        <f>SUM(B8,B12,B14,B15,B17,B18)</f>
        <v/>
      </c>
      <c r="C20" s="13">
        <f>SUM(C8,C12,C14,C15,C17,C18)</f>
        <v/>
      </c>
      <c r="D20" s="13">
        <f>SUM(D8,D12,D14,D15,D17,D18)</f>
        <v/>
      </c>
      <c r="E20" s="13">
        <f>SUM(E8,E12,E14,E15,E17,E18)</f>
        <v/>
      </c>
      <c r="F20" s="13">
        <f>SUM(F8,F12,F14,F15,F17,F18)</f>
        <v/>
      </c>
      <c r="G20" s="13">
        <f>SUM(G8,G12,G14,G15,G17,G18)</f>
        <v/>
      </c>
      <c r="H20" s="13">
        <f>SUM(H8,H12,H14,H15,H17,H18)</f>
        <v/>
      </c>
      <c r="I20" s="13">
        <f>SUM(I8,I12,I14,I15,I17,I18)</f>
        <v/>
      </c>
      <c r="J20" s="14" t="n"/>
      <c r="K20" s="14" t="n"/>
      <c r="L20" s="14" t="n"/>
      <c r="M20" s="14" t="n"/>
      <c r="N20" s="14" t="n"/>
    </row>
    <row r="21">
      <c r="A21" s="7" t="inlineStr">
        <is>
          <t xml:space="preserve">  YoY Revenue Growth (%)</t>
        </is>
      </c>
      <c r="C21" s="15">
        <f>(C20-B20)/B20</f>
        <v/>
      </c>
      <c r="D21" s="15">
        <f>(D20-C20)/C20</f>
        <v/>
      </c>
      <c r="E21" s="15">
        <f>(E20-D20)/D20</f>
        <v/>
      </c>
      <c r="F21" s="15">
        <f>(F20-E20)/E20</f>
        <v/>
      </c>
      <c r="G21" s="15">
        <f>(G20-F20)/F20</f>
        <v/>
      </c>
      <c r="H21" s="15">
        <f>(H20-G20)/G20</f>
        <v/>
      </c>
      <c r="I21" s="15">
        <f>(I20-H20)/H20</f>
        <v/>
      </c>
    </row>
    <row r="24">
      <c r="A24" s="4" t="inlineStr">
        <is>
          <t>B. REVENUE BY GEOGRAPHY ($M)</t>
        </is>
      </c>
    </row>
    <row r="26">
      <c r="A26" s="5" t="inlineStr">
        <is>
          <t xml:space="preserve">  Mid-Atlantic</t>
        </is>
      </c>
      <c r="B26" s="6" t="n">
        <v>5800</v>
      </c>
      <c r="C26" s="6" t="n">
        <v>5138</v>
      </c>
      <c r="D26" s="6" t="n">
        <v>5200</v>
      </c>
      <c r="E26" s="6" t="n">
        <v>5400</v>
      </c>
      <c r="F26" s="6" t="n">
        <v>6800</v>
      </c>
      <c r="G26" s="6" t="n">
        <v>7200</v>
      </c>
      <c r="H26" s="6" t="n">
        <v>7600</v>
      </c>
      <c r="I26" s="6" t="n">
        <v>8000</v>
      </c>
    </row>
    <row r="27">
      <c r="A27" s="5" t="inlineStr">
        <is>
          <t xml:space="preserve">  Midwest</t>
        </is>
      </c>
      <c r="B27" s="6" t="n">
        <v>5200</v>
      </c>
      <c r="C27" s="6" t="n">
        <v>4658</v>
      </c>
      <c r="D27" s="6" t="n">
        <v>4700</v>
      </c>
      <c r="E27" s="6" t="n">
        <v>4900</v>
      </c>
      <c r="F27" s="6" t="n">
        <v>5800</v>
      </c>
      <c r="G27" s="6" t="n">
        <v>6100</v>
      </c>
      <c r="H27" s="6" t="n">
        <v>6400</v>
      </c>
      <c r="I27" s="6" t="n">
        <v>6700</v>
      </c>
    </row>
    <row r="28">
      <c r="A28" s="5" t="inlineStr">
        <is>
          <t xml:space="preserve">  New York</t>
        </is>
      </c>
      <c r="B28" s="6" t="n">
        <v>2100</v>
      </c>
      <c r="C28" s="6" t="n">
        <v>2021</v>
      </c>
      <c r="D28" s="6" t="n">
        <v>2050</v>
      </c>
      <c r="E28" s="6" t="n">
        <v>2100</v>
      </c>
      <c r="F28" s="6" t="n">
        <v>2400</v>
      </c>
      <c r="G28" s="6" t="n">
        <v>2500</v>
      </c>
      <c r="H28" s="6" t="n">
        <v>2600</v>
      </c>
      <c r="I28" s="6" t="n">
        <v>2700</v>
      </c>
    </row>
    <row r="29">
      <c r="A29" s="5" t="inlineStr">
        <is>
          <t xml:space="preserve">  ERCOT (Texas)</t>
        </is>
      </c>
      <c r="B29" s="6" t="n">
        <v>1400</v>
      </c>
      <c r="C29" s="6" t="n">
        <v>1346</v>
      </c>
      <c r="D29" s="6" t="n">
        <v>1300</v>
      </c>
      <c r="E29" s="6" t="n">
        <v>1400</v>
      </c>
      <c r="F29" s="6" t="n">
        <v>4500</v>
      </c>
      <c r="G29" s="6" t="n">
        <v>4800</v>
      </c>
      <c r="H29" s="6" t="n">
        <v>5000</v>
      </c>
      <c r="I29" s="6" t="n">
        <v>5200</v>
      </c>
    </row>
    <row r="30">
      <c r="A30" s="5" t="inlineStr">
        <is>
          <t xml:space="preserve">  California &amp; West (Calpine)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5500</v>
      </c>
      <c r="G30" s="6" t="n">
        <v>5900</v>
      </c>
      <c r="H30" s="6" t="n">
        <v>6200</v>
      </c>
      <c r="I30" s="6" t="n">
        <v>6500</v>
      </c>
    </row>
    <row r="31">
      <c r="A31" s="5" t="inlineStr">
        <is>
          <t xml:space="preserve">  Southeast &amp; Other</t>
        </is>
      </c>
      <c r="B31" s="6" t="n">
        <v>9780</v>
      </c>
      <c r="C31" s="6" t="n">
        <v>10405</v>
      </c>
      <c r="D31" s="6" t="n">
        <v>10320</v>
      </c>
      <c r="E31" s="6" t="n">
        <v>11730</v>
      </c>
      <c r="F31" s="6" t="n">
        <v>9400</v>
      </c>
      <c r="G31" s="6" t="n">
        <v>10000</v>
      </c>
      <c r="H31" s="6" t="n">
        <v>10700</v>
      </c>
      <c r="I31" s="6" t="n">
        <v>11400</v>
      </c>
    </row>
    <row r="33">
      <c r="A33" s="12" t="inlineStr">
        <is>
          <t>TOTAL REVENUE ($M)</t>
        </is>
      </c>
      <c r="B33" s="13">
        <f>SUM(B26:B31)</f>
        <v/>
      </c>
      <c r="C33" s="13">
        <f>SUM(C26:C31)</f>
        <v/>
      </c>
      <c r="D33" s="13">
        <f>SUM(D26:D31)</f>
        <v/>
      </c>
      <c r="E33" s="13">
        <f>SUM(E26:E31)</f>
        <v/>
      </c>
      <c r="F33" s="13">
        <f>SUM(F26:F31)</f>
        <v/>
      </c>
      <c r="G33" s="13">
        <f>SUM(G26:G31)</f>
        <v/>
      </c>
      <c r="H33" s="13">
        <f>SUM(H26:H31)</f>
        <v/>
      </c>
      <c r="I33" s="13">
        <f>SUM(I26:I31)</f>
        <v/>
      </c>
      <c r="J33" s="14" t="n"/>
      <c r="K33" s="14" t="n"/>
      <c r="L33" s="14" t="n"/>
      <c r="M33" s="14" t="n"/>
      <c r="N33" s="14" t="n"/>
    </row>
    <row r="35">
      <c r="A35" s="16" t="inlineStr">
        <is>
          <t>C. KEY REVENUE ASSUMPTIONS</t>
        </is>
      </c>
    </row>
    <row r="37">
      <c r="A37" s="7" t="inlineStr">
        <is>
          <t xml:space="preserve">  Revenue CAGR 2025-2029 (implied)</t>
        </is>
      </c>
      <c r="I37" s="15">
        <f>(I20/E20)^(1/4)-1</f>
        <v/>
      </c>
    </row>
    <row r="38">
      <c r="A38" s="7" t="inlineStr">
        <is>
          <t xml:space="preserve">  Nuclear % of Total Revenue</t>
        </is>
      </c>
      <c r="B38" s="15">
        <f>B8/B20</f>
        <v/>
      </c>
      <c r="C38" s="15">
        <f>C8/C20</f>
        <v/>
      </c>
      <c r="D38" s="15">
        <f>D8/D20</f>
        <v/>
      </c>
      <c r="E38" s="15">
        <f>E8/E20</f>
        <v/>
      </c>
      <c r="F38" s="15">
        <f>F8/F20</f>
        <v/>
      </c>
      <c r="G38" s="15">
        <f>G8/G20</f>
        <v/>
      </c>
      <c r="H38" s="15">
        <f>H8/H20</f>
        <v/>
      </c>
      <c r="I38" s="15">
        <f>I8/I20</f>
        <v/>
      </c>
    </row>
    <row r="39">
      <c r="A39" s="7" t="inlineStr">
        <is>
          <t xml:space="preserve">  Long-term PPA contracted volume (GWh)</t>
        </is>
      </c>
      <c r="B39" s="8" t="n">
        <v>0</v>
      </c>
      <c r="C39" s="8" t="n">
        <v>0</v>
      </c>
      <c r="D39" s="8" t="n">
        <v>5000</v>
      </c>
      <c r="E39" s="8" t="n">
        <v>6000</v>
      </c>
      <c r="F39" s="8" t="n">
        <v>10500</v>
      </c>
      <c r="G39" s="8" t="n">
        <v>15000</v>
      </c>
      <c r="H39" s="8" t="n">
        <v>17000</v>
      </c>
      <c r="I39" s="8" t="n">
        <v>19000</v>
      </c>
    </row>
  </sheetData>
  <mergeCells count="5">
    <mergeCell ref="A2:I2"/>
    <mergeCell ref="A1:I1"/>
    <mergeCell ref="A6:I6"/>
    <mergeCell ref="A35:I35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CONSTELLATION ENERGY (CEG) — INCOME STATEMENT  |  $ in millions</t>
        </is>
      </c>
    </row>
    <row r="2">
      <c r="A2" s="2" t="inlineStr">
        <is>
          <t>GAAP basis; adjusted metrics noted separately  |  Source: SEC EDGAR 10-K/10-Q filings</t>
        </is>
      </c>
    </row>
    <row r="4">
      <c r="A4" s="3" t="inlineStr"/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2025A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6">
      <c r="A6" s="17" t="inlineStr">
        <is>
          <t>REVENUE</t>
        </is>
      </c>
    </row>
    <row r="7">
      <c r="A7" s="5" t="inlineStr">
        <is>
          <t xml:space="preserve">  Total Revenue</t>
        </is>
      </c>
      <c r="B7" s="6" t="n">
        <v>24280</v>
      </c>
      <c r="C7" s="6" t="n">
        <v>23568</v>
      </c>
      <c r="D7" s="6" t="n">
        <v>23570</v>
      </c>
      <c r="E7" s="6" t="n">
        <v>25530</v>
      </c>
      <c r="F7" s="6" t="n">
        <v>34400</v>
      </c>
      <c r="G7" s="6" t="n">
        <v>36500</v>
      </c>
      <c r="H7" s="6" t="n">
        <v>38500</v>
      </c>
      <c r="I7" s="6" t="n">
        <v>40500</v>
      </c>
    </row>
    <row r="8">
      <c r="A8" s="7" t="inlineStr">
        <is>
          <t xml:space="preserve">    YoY Growth (%)</t>
        </is>
      </c>
      <c r="C8" s="15">
        <f>(C7-B7)/B7</f>
        <v/>
      </c>
      <c r="D8" s="15">
        <f>(D7-C7)/C7</f>
        <v/>
      </c>
      <c r="E8" s="15">
        <f>(E7-D7)/D7</f>
        <v/>
      </c>
      <c r="F8" s="15">
        <f>(F7-E7)/E7</f>
        <v/>
      </c>
      <c r="G8" s="15">
        <f>(G7-F7)/F7</f>
        <v/>
      </c>
      <c r="H8" s="15">
        <f>(H7-G7)/G7</f>
        <v/>
      </c>
      <c r="I8" s="15">
        <f>(I7-H7)/H7</f>
        <v/>
      </c>
    </row>
    <row r="10">
      <c r="A10" s="17" t="inlineStr">
        <is>
          <t>COST OF REVENUE</t>
        </is>
      </c>
    </row>
    <row r="11">
      <c r="A11" s="3" t="inlineStr">
        <is>
          <t xml:space="preserve">  Purchased Power &amp; Fuel</t>
        </is>
      </c>
      <c r="B11" s="6" t="n">
        <v>16200</v>
      </c>
      <c r="C11" s="6" t="n">
        <v>13000</v>
      </c>
      <c r="D11" s="6" t="n">
        <v>12800</v>
      </c>
      <c r="E11" s="6" t="n">
        <v>14681</v>
      </c>
      <c r="F11" s="6" t="n">
        <v>19800</v>
      </c>
      <c r="G11" s="6" t="n">
        <v>20700</v>
      </c>
      <c r="H11" s="6" t="n">
        <v>21500</v>
      </c>
      <c r="I11" s="6" t="n">
        <v>22300</v>
      </c>
    </row>
    <row r="12">
      <c r="A12" s="7" t="inlineStr">
        <is>
          <t xml:space="preserve">    % of Revenue</t>
        </is>
      </c>
      <c r="B12" s="15">
        <f>B11/B7</f>
        <v/>
      </c>
      <c r="C12" s="15">
        <f>C11/C7</f>
        <v/>
      </c>
      <c r="D12" s="15">
        <f>D11/D7</f>
        <v/>
      </c>
      <c r="E12" s="15">
        <f>E11/E7</f>
        <v/>
      </c>
      <c r="F12" s="15">
        <f>F11/F7</f>
        <v/>
      </c>
      <c r="G12" s="15">
        <f>G11/G7</f>
        <v/>
      </c>
      <c r="H12" s="15">
        <f>H11/H7</f>
        <v/>
      </c>
      <c r="I12" s="15">
        <f>I11/I7</f>
        <v/>
      </c>
    </row>
    <row r="13">
      <c r="A13" s="3" t="inlineStr">
        <is>
          <t xml:space="preserve">  Operating &amp; Maintenance (O&amp;M)</t>
        </is>
      </c>
      <c r="B13" s="6" t="n">
        <v>5200</v>
      </c>
      <c r="C13" s="6" t="n">
        <v>4720</v>
      </c>
      <c r="D13" s="6" t="n">
        <v>5100</v>
      </c>
      <c r="E13" s="6" t="n">
        <v>6159</v>
      </c>
      <c r="F13" s="6" t="n">
        <v>7800</v>
      </c>
      <c r="G13" s="6" t="n">
        <v>8000</v>
      </c>
      <c r="H13" s="6" t="n">
        <v>8300</v>
      </c>
      <c r="I13" s="6" t="n">
        <v>8600</v>
      </c>
    </row>
    <row r="14">
      <c r="A14" s="7" t="inlineStr">
        <is>
          <t xml:space="preserve">    % of Revenue</t>
        </is>
      </c>
      <c r="B14" s="15">
        <f>B13/B7</f>
        <v/>
      </c>
      <c r="C14" s="15">
        <f>C13/C7</f>
        <v/>
      </c>
      <c r="D14" s="15">
        <f>D13/D7</f>
        <v/>
      </c>
      <c r="E14" s="15">
        <f>E13/E7</f>
        <v/>
      </c>
      <c r="F14" s="15">
        <f>F13/F7</f>
        <v/>
      </c>
      <c r="G14" s="15">
        <f>G13/G7</f>
        <v/>
      </c>
      <c r="H14" s="15">
        <f>H13/H7</f>
        <v/>
      </c>
      <c r="I14" s="15">
        <f>I13/I7</f>
        <v/>
      </c>
    </row>
    <row r="15">
      <c r="A15" s="3" t="inlineStr">
        <is>
          <t xml:space="preserve">  Depreciation &amp; Amortization</t>
        </is>
      </c>
      <c r="B15" s="6" t="n">
        <v>840</v>
      </c>
      <c r="C15" s="6" t="n">
        <v>870</v>
      </c>
      <c r="D15" s="6" t="n">
        <v>950</v>
      </c>
      <c r="E15" s="6" t="n">
        <v>985</v>
      </c>
      <c r="F15" s="6" t="n">
        <v>1800</v>
      </c>
      <c r="G15" s="6" t="n">
        <v>1900</v>
      </c>
      <c r="H15" s="6" t="n">
        <v>1950</v>
      </c>
      <c r="I15" s="6" t="n">
        <v>2000</v>
      </c>
    </row>
    <row r="16">
      <c r="A16" s="3" t="inlineStr">
        <is>
          <t xml:space="preserve">  Other Operating Costs / (Gains)</t>
        </is>
      </c>
      <c r="B16" s="6" t="n">
        <v>2240</v>
      </c>
      <c r="C16" s="6" t="n">
        <v>130</v>
      </c>
      <c r="D16" s="6" t="n">
        <v>522</v>
      </c>
      <c r="E16" s="6" t="n">
        <v>615</v>
      </c>
      <c r="F16" s="6" t="n">
        <v>400</v>
      </c>
      <c r="G16" s="6" t="n">
        <v>350</v>
      </c>
      <c r="H16" s="6" t="n">
        <v>300</v>
      </c>
      <c r="I16" s="6" t="n">
        <v>250</v>
      </c>
    </row>
    <row r="17">
      <c r="A17" s="12" t="inlineStr">
        <is>
          <t xml:space="preserve">  Total Cost of Revenue</t>
        </is>
      </c>
      <c r="B17" s="13">
        <f>SUM(B11,B13,B15,B16)</f>
        <v/>
      </c>
      <c r="C17" s="13">
        <f>SUM(C11,C13,C15,C16)</f>
        <v/>
      </c>
      <c r="D17" s="13">
        <f>SUM(D11,D13,D15,D16)</f>
        <v/>
      </c>
      <c r="E17" s="13">
        <f>SUM(E11,E13,E15,E16)</f>
        <v/>
      </c>
      <c r="F17" s="13">
        <f>SUM(F11,F13,F15,F16)</f>
        <v/>
      </c>
      <c r="G17" s="13">
        <f>SUM(G11,G13,G15,G16)</f>
        <v/>
      </c>
      <c r="H17" s="13">
        <f>SUM(H11,H13,H15,H16)</f>
        <v/>
      </c>
      <c r="I17" s="13">
        <f>SUM(I11,I13,I15,I16)</f>
        <v/>
      </c>
      <c r="J17" s="14" t="n"/>
      <c r="K17" s="14" t="n"/>
      <c r="L17" s="14" t="n"/>
      <c r="M17" s="14" t="n"/>
      <c r="N17" s="14" t="n"/>
    </row>
    <row r="19">
      <c r="A19" s="12" t="inlineStr">
        <is>
          <t>GROSS PROFIT</t>
        </is>
      </c>
      <c r="B19" s="13">
        <f>B7-B17</f>
        <v/>
      </c>
      <c r="C19" s="13">
        <f>C7-C17</f>
        <v/>
      </c>
      <c r="D19" s="13">
        <f>D7-D17</f>
        <v/>
      </c>
      <c r="E19" s="13">
        <f>E7-E17</f>
        <v/>
      </c>
      <c r="F19" s="13">
        <f>F7-F17</f>
        <v/>
      </c>
      <c r="G19" s="13">
        <f>G7-G17</f>
        <v/>
      </c>
      <c r="H19" s="13">
        <f>H7-H17</f>
        <v/>
      </c>
      <c r="I19" s="13">
        <f>I7-I17</f>
        <v/>
      </c>
      <c r="J19" s="14" t="n"/>
      <c r="K19" s="14" t="n"/>
      <c r="L19" s="14" t="n"/>
      <c r="M19" s="14" t="n"/>
      <c r="N19" s="14" t="n"/>
    </row>
    <row r="20">
      <c r="A20" s="7" t="inlineStr">
        <is>
          <t xml:space="preserve">  Gross Margin (%)</t>
        </is>
      </c>
      <c r="B20" s="15">
        <f>B19/B7</f>
        <v/>
      </c>
      <c r="C20" s="15">
        <f>C19/C7</f>
        <v/>
      </c>
      <c r="D20" s="15">
        <f>D19/D7</f>
        <v/>
      </c>
      <c r="E20" s="15">
        <f>E19/E7</f>
        <v/>
      </c>
      <c r="F20" s="15">
        <f>F19/F7</f>
        <v/>
      </c>
      <c r="G20" s="15">
        <f>G19/G7</f>
        <v/>
      </c>
      <c r="H20" s="15">
        <f>H19/H7</f>
        <v/>
      </c>
      <c r="I20" s="15">
        <f>I19/I7</f>
        <v/>
      </c>
    </row>
    <row r="22">
      <c r="A22" s="12" t="inlineStr">
        <is>
          <t>EBITDA (Gross Profit + D&amp;A)</t>
        </is>
      </c>
      <c r="B22" s="13">
        <f>B19+B15</f>
        <v/>
      </c>
      <c r="C22" s="13">
        <f>C19+C15</f>
        <v/>
      </c>
      <c r="D22" s="13">
        <f>D19+D15</f>
        <v/>
      </c>
      <c r="E22" s="13">
        <f>E19+E15</f>
        <v/>
      </c>
      <c r="F22" s="13">
        <f>F19+F15</f>
        <v/>
      </c>
      <c r="G22" s="13">
        <f>G19+G15</f>
        <v/>
      </c>
      <c r="H22" s="13">
        <f>H19+H15</f>
        <v/>
      </c>
      <c r="I22" s="13">
        <f>I19+I15</f>
        <v/>
      </c>
      <c r="J22" s="14" t="n"/>
      <c r="K22" s="14" t="n"/>
      <c r="L22" s="14" t="n"/>
      <c r="M22" s="14" t="n"/>
      <c r="N22" s="14" t="n"/>
    </row>
    <row r="23">
      <c r="A23" s="7" t="inlineStr">
        <is>
          <t xml:space="preserve">  EBITDA Margin (%)</t>
        </is>
      </c>
      <c r="B23" s="15">
        <f>B22/B7</f>
        <v/>
      </c>
      <c r="C23" s="15">
        <f>C22/C7</f>
        <v/>
      </c>
      <c r="D23" s="15">
        <f>D22/D7</f>
        <v/>
      </c>
      <c r="E23" s="15">
        <f>E22/E7</f>
        <v/>
      </c>
      <c r="F23" s="15">
        <f>F22/F7</f>
        <v/>
      </c>
      <c r="G23" s="15">
        <f>G22/G7</f>
        <v/>
      </c>
      <c r="H23" s="15">
        <f>H22/H7</f>
        <v/>
      </c>
      <c r="I23" s="15">
        <f>I22/I7</f>
        <v/>
      </c>
    </row>
    <row r="25">
      <c r="A25" s="12" t="inlineStr">
        <is>
          <t>EBIT / OPERATING INCOME</t>
        </is>
      </c>
      <c r="B25" s="13">
        <f>B19</f>
        <v/>
      </c>
      <c r="C25" s="13">
        <f>C19</f>
        <v/>
      </c>
      <c r="D25" s="13">
        <f>D19</f>
        <v/>
      </c>
      <c r="E25" s="13">
        <f>E19</f>
        <v/>
      </c>
      <c r="F25" s="13">
        <f>F19</f>
        <v/>
      </c>
      <c r="G25" s="13">
        <f>G19</f>
        <v/>
      </c>
      <c r="H25" s="13">
        <f>H19</f>
        <v/>
      </c>
      <c r="I25" s="13">
        <f>I19</f>
        <v/>
      </c>
      <c r="J25" s="14" t="n"/>
      <c r="K25" s="14" t="n"/>
      <c r="L25" s="14" t="n"/>
      <c r="M25" s="14" t="n"/>
      <c r="N25" s="14" t="n"/>
    </row>
    <row r="26">
      <c r="A26" s="7" t="inlineStr">
        <is>
          <t xml:space="preserve">  EBIT Margin (%)</t>
        </is>
      </c>
      <c r="B26" s="15">
        <f>B25/B7</f>
        <v/>
      </c>
      <c r="C26" s="15">
        <f>C25/C7</f>
        <v/>
      </c>
      <c r="D26" s="15">
        <f>D25/D7</f>
        <v/>
      </c>
      <c r="E26" s="15">
        <f>E25/E7</f>
        <v/>
      </c>
      <c r="F26" s="15">
        <f>F25/F7</f>
        <v/>
      </c>
      <c r="G26" s="15">
        <f>G25/G7</f>
        <v/>
      </c>
      <c r="H26" s="15">
        <f>H25/H7</f>
        <v/>
      </c>
      <c r="I26" s="15">
        <f>I25/I7</f>
        <v/>
      </c>
    </row>
    <row r="28">
      <c r="A28" s="17" t="inlineStr">
        <is>
          <t>BELOW THE LINE</t>
        </is>
      </c>
    </row>
    <row r="29">
      <c r="A29" s="3" t="inlineStr">
        <is>
          <t xml:space="preserve">  Interest Expense</t>
        </is>
      </c>
      <c r="B29" s="6" t="n">
        <v>-600</v>
      </c>
      <c r="C29" s="6" t="n">
        <v>-700</v>
      </c>
      <c r="D29" s="6" t="n">
        <v>-750</v>
      </c>
      <c r="E29" s="6" t="n">
        <v>-800</v>
      </c>
      <c r="F29" s="6" t="n">
        <v>-1500</v>
      </c>
      <c r="G29" s="6" t="n">
        <v>-1400</v>
      </c>
      <c r="H29" s="6" t="n">
        <v>-1300</v>
      </c>
      <c r="I29" s="6" t="n">
        <v>-1200</v>
      </c>
    </row>
    <row r="30">
      <c r="A30" s="3" t="inlineStr">
        <is>
          <t xml:space="preserve">  Interest Income &amp; Other</t>
        </is>
      </c>
      <c r="B30" s="6" t="n">
        <v>600</v>
      </c>
      <c r="C30" s="6" t="n">
        <v>-2600</v>
      </c>
      <c r="D30" s="6" t="n">
        <v>500</v>
      </c>
      <c r="E30" s="6" t="n">
        <v>30</v>
      </c>
      <c r="F30" s="6" t="n">
        <v>-100</v>
      </c>
      <c r="G30" s="6" t="n">
        <v>-50</v>
      </c>
      <c r="H30" s="6" t="n">
        <v>-50</v>
      </c>
      <c r="I30" s="6" t="n">
        <v>-50</v>
      </c>
    </row>
    <row r="32">
      <c r="A32" s="12" t="inlineStr">
        <is>
          <t>PRE-TAX INCOME</t>
        </is>
      </c>
      <c r="B32" s="13">
        <f>SUM(B25,B29,B30)</f>
        <v/>
      </c>
      <c r="C32" s="13">
        <f>SUM(C25,C29,C30)</f>
        <v/>
      </c>
      <c r="D32" s="13">
        <f>SUM(D25,D29,D30)</f>
        <v/>
      </c>
      <c r="E32" s="13">
        <f>SUM(E25,E29,E30)</f>
        <v/>
      </c>
      <c r="F32" s="13">
        <f>SUM(F25,F29,F30)</f>
        <v/>
      </c>
      <c r="G32" s="13">
        <f>SUM(G25,G29,G30)</f>
        <v/>
      </c>
      <c r="H32" s="13">
        <f>SUM(H25,H29,H30)</f>
        <v/>
      </c>
      <c r="I32" s="13">
        <f>SUM(I25,I29,I30)</f>
        <v/>
      </c>
      <c r="J32" s="14" t="n"/>
      <c r="K32" s="14" t="n"/>
      <c r="L32" s="14" t="n"/>
      <c r="M32" s="14" t="n"/>
      <c r="N32" s="14" t="n"/>
    </row>
    <row r="33">
      <c r="A33" s="3" t="inlineStr">
        <is>
          <t xml:space="preserve">  Income Tax Benefit / (Expense)</t>
        </is>
      </c>
      <c r="B33" s="6" t="n">
        <v>33</v>
      </c>
      <c r="C33" s="6" t="n">
        <v>-167</v>
      </c>
      <c r="D33" s="6" t="n">
        <v>-210</v>
      </c>
      <c r="E33" s="6" t="n">
        <v>0</v>
      </c>
      <c r="F33" s="6" t="n">
        <v>-450</v>
      </c>
      <c r="G33" s="6" t="n">
        <v>-615</v>
      </c>
      <c r="H33" s="6" t="n">
        <v>-765</v>
      </c>
      <c r="I33" s="6" t="n">
        <v>-915</v>
      </c>
    </row>
    <row r="34">
      <c r="A34" s="7" t="inlineStr">
        <is>
          <t xml:space="preserve">    Effective Tax Rate (%)</t>
        </is>
      </c>
      <c r="C34" s="10" t="n">
        <v>0.108</v>
      </c>
      <c r="D34" s="10" t="n">
        <v>0.053</v>
      </c>
      <c r="E34" s="10" t="n">
        <v>0</v>
      </c>
      <c r="F34" s="10" t="n">
        <v>0.15</v>
      </c>
      <c r="G34" s="10" t="n">
        <v>0.15</v>
      </c>
      <c r="H34" s="10" t="n">
        <v>0.15</v>
      </c>
      <c r="I34" s="10" t="n">
        <v>0.15</v>
      </c>
    </row>
    <row r="36">
      <c r="A36" s="3" t="inlineStr">
        <is>
          <t xml:space="preserve">  Non-controlling interest &amp; other</t>
        </is>
      </c>
      <c r="B36" s="6" t="n">
        <v>0</v>
      </c>
      <c r="C36" s="6" t="n">
        <v>363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</row>
    <row r="38">
      <c r="A38" s="12" t="inlineStr">
        <is>
          <t>NET INCOME (GAAP)</t>
        </is>
      </c>
      <c r="B38" s="18" t="n">
        <v>-167</v>
      </c>
      <c r="C38" s="18" t="n">
        <v>1577</v>
      </c>
      <c r="D38" s="18" t="n">
        <v>3738</v>
      </c>
      <c r="E38" s="18" t="n">
        <v>2320</v>
      </c>
      <c r="F38" s="18" t="n">
        <v>3550</v>
      </c>
      <c r="G38" s="18" t="n">
        <v>4885</v>
      </c>
      <c r="H38" s="18" t="n">
        <v>6085</v>
      </c>
      <c r="I38" s="18" t="n">
        <v>7235</v>
      </c>
      <c r="J38" s="14" t="n"/>
      <c r="K38" s="14" t="n"/>
      <c r="L38" s="14" t="n"/>
      <c r="M38" s="14" t="n"/>
      <c r="N38" s="14" t="n"/>
    </row>
    <row r="39">
      <c r="A39" s="7" t="inlineStr">
        <is>
          <t xml:space="preserve">  Net Margin (GAAP %)</t>
        </is>
      </c>
      <c r="B39" s="15">
        <f>IF(B7=0,0,B38/B7)</f>
        <v/>
      </c>
      <c r="C39" s="15">
        <f>IF(C7=0,0,C38/C7)</f>
        <v/>
      </c>
      <c r="D39" s="15">
        <f>IF(D7=0,0,D38/D7)</f>
        <v/>
      </c>
      <c r="E39" s="15">
        <f>IF(E7=0,0,E38/E7)</f>
        <v/>
      </c>
      <c r="F39" s="15">
        <f>IF(F7=0,0,F38/F7)</f>
        <v/>
      </c>
      <c r="G39" s="15">
        <f>IF(G7=0,0,G38/G7)</f>
        <v/>
      </c>
      <c r="H39" s="15">
        <f>IF(H7=0,0,H38/H7)</f>
        <v/>
      </c>
      <c r="I39" s="15">
        <f>IF(I7=0,0,I38/I7)</f>
        <v/>
      </c>
    </row>
    <row r="41">
      <c r="A41" s="17" t="inlineStr">
        <is>
          <t>PER SHARE DATA</t>
        </is>
      </c>
    </row>
    <row r="42">
      <c r="A42" s="3" t="inlineStr">
        <is>
          <t xml:space="preserve">  Diluted Shares Outstanding (M)</t>
        </is>
      </c>
      <c r="B42" s="11" t="n">
        <v>313</v>
      </c>
      <c r="C42" s="11" t="n">
        <v>314</v>
      </c>
      <c r="D42" s="11" t="n">
        <v>314</v>
      </c>
      <c r="E42" s="11" t="n">
        <v>313</v>
      </c>
      <c r="F42" s="11" t="n">
        <v>314</v>
      </c>
      <c r="G42" s="11" t="n">
        <v>312</v>
      </c>
      <c r="H42" s="11" t="n">
        <v>310</v>
      </c>
      <c r="I42" s="11" t="n">
        <v>308</v>
      </c>
    </row>
    <row r="43">
      <c r="A43" s="12" t="inlineStr">
        <is>
          <t xml:space="preserve">  GAAP EPS (Diluted)</t>
        </is>
      </c>
      <c r="B43" s="19">
        <f>IF(B42=0,0,B38/B42)</f>
        <v/>
      </c>
      <c r="C43" s="19">
        <f>IF(C42=0,0,C38/C42)</f>
        <v/>
      </c>
      <c r="D43" s="19">
        <f>IF(D42=0,0,D38/D42)</f>
        <v/>
      </c>
      <c r="E43" s="19">
        <f>IF(E42=0,0,E38/E42)</f>
        <v/>
      </c>
      <c r="F43" s="19">
        <f>IF(F42=0,0,F38/F42)</f>
        <v/>
      </c>
      <c r="G43" s="19">
        <f>IF(G42=0,0,G38/G42)</f>
        <v/>
      </c>
      <c r="H43" s="19">
        <f>IF(H42=0,0,H38/H42)</f>
        <v/>
      </c>
      <c r="I43" s="19">
        <f>IF(I42=0,0,I38/I42)</f>
        <v/>
      </c>
      <c r="J43" s="14" t="n"/>
      <c r="K43" s="14" t="n"/>
      <c r="L43" s="14" t="n"/>
      <c r="M43" s="14" t="n"/>
      <c r="N43" s="14" t="n"/>
    </row>
    <row r="44">
      <c r="A44" s="5" t="inlineStr">
        <is>
          <t xml:space="preserve">  Adjusted Operating EPS (non-GAAP)</t>
        </is>
      </c>
      <c r="B44" s="20" t="n">
        <v>3.4</v>
      </c>
      <c r="C44" s="20" t="n">
        <v>5</v>
      </c>
      <c r="D44" s="20" t="n">
        <v>8.67</v>
      </c>
      <c r="E44" s="20" t="n">
        <v>9.390000000000001</v>
      </c>
      <c r="F44" s="20" t="n">
        <v>11.74</v>
      </c>
      <c r="G44" s="20" t="n">
        <v>13.5</v>
      </c>
      <c r="H44" s="20" t="n">
        <v>15</v>
      </c>
      <c r="I44" s="20" t="n">
        <v>16.5</v>
      </c>
    </row>
    <row r="45">
      <c r="A45" s="7" t="inlineStr">
        <is>
          <t xml:space="preserve">    YoY Adjusted EPS Growth (%)</t>
        </is>
      </c>
      <c r="C45" s="15">
        <f>(C44-B44)/B44</f>
        <v/>
      </c>
      <c r="D45" s="15">
        <f>(D44-C44)/C44</f>
        <v/>
      </c>
      <c r="E45" s="15">
        <f>(E44-D44)/D44</f>
        <v/>
      </c>
      <c r="F45" s="15">
        <f>(F44-E44)/E44</f>
        <v/>
      </c>
      <c r="G45" s="15">
        <f>(G44-F44)/F44</f>
        <v/>
      </c>
      <c r="H45" s="15">
        <f>(H44-G44)/G44</f>
        <v/>
      </c>
      <c r="I45" s="15">
        <f>(I44-H44)/H44</f>
        <v/>
      </c>
    </row>
    <row r="46">
      <c r="A46" s="3" t="inlineStr">
        <is>
          <t xml:space="preserve">  Dividend Per Share</t>
        </is>
      </c>
      <c r="B46" s="20" t="n">
        <v>0</v>
      </c>
      <c r="C46" s="20" t="n">
        <v>0.84</v>
      </c>
      <c r="D46" s="20" t="n">
        <v>1.41</v>
      </c>
      <c r="E46" s="20" t="n">
        <v>1.68</v>
      </c>
      <c r="F46" s="20" t="n">
        <v>2</v>
      </c>
      <c r="G46" s="20" t="n">
        <v>2.4</v>
      </c>
      <c r="H46" s="20" t="n">
        <v>2.8</v>
      </c>
      <c r="I46" s="20" t="n">
        <v>3.2</v>
      </c>
    </row>
    <row r="47">
      <c r="A47" s="7" t="inlineStr">
        <is>
          <t xml:space="preserve">  Dividend Payout Ratio (% Adj. EPS)</t>
        </is>
      </c>
      <c r="B47" s="15">
        <f>IF(B44=0,0,B46/B44)</f>
        <v/>
      </c>
      <c r="C47" s="15">
        <f>IF(C44=0,0,C46/C44)</f>
        <v/>
      </c>
      <c r="D47" s="15">
        <f>IF(D44=0,0,D46/D44)</f>
        <v/>
      </c>
      <c r="E47" s="15">
        <f>IF(E44=0,0,E46/E44)</f>
        <v/>
      </c>
      <c r="F47" s="15">
        <f>IF(F44=0,0,F46/F44)</f>
        <v/>
      </c>
      <c r="G47" s="15">
        <f>IF(G44=0,0,G46/G44)</f>
        <v/>
      </c>
      <c r="H47" s="15">
        <f>IF(H44=0,0,H46/H44)</f>
        <v/>
      </c>
      <c r="I47" s="15">
        <f>IF(I44=0,0,I46/I44)</f>
        <v/>
      </c>
    </row>
    <row r="49">
      <c r="A49" s="17" t="inlineStr">
        <is>
          <t>ADJUSTED METRICS (NON-GAAP)</t>
        </is>
      </c>
    </row>
    <row r="50">
      <c r="A50" s="3" t="inlineStr">
        <is>
          <t xml:space="preserve">  Nuclear PTC Credit (45U, estimated)</t>
        </is>
      </c>
      <c r="B50" s="6" t="n">
        <v>0</v>
      </c>
      <c r="C50" s="6" t="n">
        <v>0</v>
      </c>
      <c r="D50" s="6" t="n">
        <v>1100</v>
      </c>
      <c r="E50" s="6" t="n">
        <v>1900</v>
      </c>
      <c r="F50" s="6" t="n">
        <v>2100</v>
      </c>
      <c r="G50" s="6" t="n">
        <v>2200</v>
      </c>
      <c r="H50" s="6" t="n">
        <v>2300</v>
      </c>
      <c r="I50" s="6" t="n">
        <v>2400</v>
      </c>
    </row>
    <row r="51">
      <c r="A51" s="12" t="inlineStr">
        <is>
          <t xml:space="preserve">  Adjusted Net Income (non-GAAP, est.)</t>
        </is>
      </c>
      <c r="B51" s="18" t="n">
        <v>1067</v>
      </c>
      <c r="C51" s="18" t="n">
        <v>1570</v>
      </c>
      <c r="D51" s="18" t="n">
        <v>2723</v>
      </c>
      <c r="E51" s="18" t="n">
        <v>2948</v>
      </c>
      <c r="F51" s="18" t="n">
        <v>3685</v>
      </c>
      <c r="G51" s="18" t="n">
        <v>4212</v>
      </c>
      <c r="H51" s="18" t="n">
        <v>4650</v>
      </c>
      <c r="I51" s="18" t="n">
        <v>5082</v>
      </c>
      <c r="J51" s="14" t="n"/>
      <c r="K51" s="14" t="n"/>
      <c r="L51" s="14" t="n"/>
      <c r="M51" s="14" t="n"/>
      <c r="N51" s="14" t="n"/>
    </row>
    <row r="52">
      <c r="A52" s="12" t="inlineStr">
        <is>
          <t xml:space="preserve">  Adjusted EBITDA (est.)</t>
        </is>
      </c>
      <c r="B52" s="18" t="n">
        <v>2500</v>
      </c>
      <c r="C52" s="18" t="n">
        <v>3500</v>
      </c>
      <c r="D52" s="18" t="n">
        <v>5500</v>
      </c>
      <c r="E52" s="18" t="n">
        <v>6200</v>
      </c>
      <c r="F52" s="18" t="n">
        <v>8000</v>
      </c>
      <c r="G52" s="18" t="n">
        <v>9000</v>
      </c>
      <c r="H52" s="18" t="n">
        <v>9800</v>
      </c>
      <c r="I52" s="18" t="n">
        <v>10500</v>
      </c>
      <c r="J52" s="14" t="n"/>
      <c r="K52" s="14" t="n"/>
      <c r="L52" s="14" t="n"/>
      <c r="M52" s="14" t="n"/>
      <c r="N52" s="14" t="n"/>
    </row>
    <row r="53">
      <c r="A53" s="7" t="inlineStr">
        <is>
          <t xml:space="preserve">    Adj. EBITDA Margin (%)</t>
        </is>
      </c>
      <c r="B53" s="15">
        <f>B52/B7</f>
        <v/>
      </c>
      <c r="C53" s="15">
        <f>C52/C7</f>
        <v/>
      </c>
      <c r="D53" s="15">
        <f>D52/D7</f>
        <v/>
      </c>
      <c r="E53" s="15">
        <f>E52/E7</f>
        <v/>
      </c>
      <c r="F53" s="15">
        <f>F52/F7</f>
        <v/>
      </c>
      <c r="G53" s="15">
        <f>G52/G7</f>
        <v/>
      </c>
      <c r="H53" s="15">
        <f>H52/H7</f>
        <v/>
      </c>
      <c r="I53" s="15">
        <f>I52/I7</f>
        <v/>
      </c>
    </row>
  </sheetData>
  <mergeCells count="7">
    <mergeCell ref="A41:I41"/>
    <mergeCell ref="A2:I2"/>
    <mergeCell ref="A49:I49"/>
    <mergeCell ref="A10:I10"/>
    <mergeCell ref="A28:I28"/>
    <mergeCell ref="A1:I1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CONSTELLATION ENERGY (CEG) — CASH FLOW STATEMENT  |  $ in millions</t>
        </is>
      </c>
    </row>
    <row r="4"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2025A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6">
      <c r="A6" s="17" t="inlineStr">
        <is>
          <t>OPERATING ACTIVITIES</t>
        </is>
      </c>
    </row>
    <row r="7">
      <c r="A7" s="3" t="inlineStr">
        <is>
          <t xml:space="preserve">  Net Income (GAAP)</t>
        </is>
      </c>
      <c r="B7" s="21">
        <f>'Income Statement'!B38</f>
        <v/>
      </c>
      <c r="C7" s="21">
        <f>'Income Statement'!C38</f>
        <v/>
      </c>
      <c r="D7" s="21">
        <f>'Income Statement'!D38</f>
        <v/>
      </c>
      <c r="E7" s="21">
        <f>'Income Statement'!E38</f>
        <v/>
      </c>
      <c r="F7" s="21">
        <f>'Income Statement'!F38</f>
        <v/>
      </c>
      <c r="G7" s="21">
        <f>'Income Statement'!G38</f>
        <v/>
      </c>
      <c r="H7" s="21">
        <f>'Income Statement'!H38</f>
        <v/>
      </c>
      <c r="I7" s="21">
        <f>'Income Statement'!I38</f>
        <v/>
      </c>
    </row>
    <row r="8">
      <c r="A8" s="3" t="inlineStr">
        <is>
          <t xml:space="preserve">  Add: Depreciation &amp; Amortization</t>
        </is>
      </c>
      <c r="B8" s="21">
        <f>'Income Statement'!B15</f>
        <v/>
      </c>
      <c r="C8" s="21">
        <f>'Income Statement'!C15</f>
        <v/>
      </c>
      <c r="D8" s="21">
        <f>'Income Statement'!D15</f>
        <v/>
      </c>
      <c r="E8" s="21">
        <f>'Income Statement'!E15</f>
        <v/>
      </c>
      <c r="F8" s="21">
        <f>'Income Statement'!F15</f>
        <v/>
      </c>
      <c r="G8" s="21">
        <f>'Income Statement'!G15</f>
        <v/>
      </c>
      <c r="H8" s="21">
        <f>'Income Statement'!H15</f>
        <v/>
      </c>
      <c r="I8" s="21">
        <f>'Income Statement'!I15</f>
        <v/>
      </c>
    </row>
    <row r="9">
      <c r="A9" s="3" t="inlineStr">
        <is>
          <t xml:space="preserve">  Stock-Based Compensation</t>
        </is>
      </c>
      <c r="B9" s="6" t="n">
        <v>150</v>
      </c>
      <c r="C9" s="6" t="n">
        <v>170</v>
      </c>
      <c r="D9" s="6" t="n">
        <v>200</v>
      </c>
      <c r="E9" s="6" t="n">
        <v>220</v>
      </c>
      <c r="F9" s="6" t="n">
        <v>280</v>
      </c>
      <c r="G9" s="6" t="n">
        <v>290</v>
      </c>
      <c r="H9" s="6" t="n">
        <v>300</v>
      </c>
      <c r="I9" s="6" t="n">
        <v>310</v>
      </c>
    </row>
    <row r="10">
      <c r="A10" s="3" t="inlineStr">
        <is>
          <t xml:space="preserve">  Deferred Income Taxes &amp; Other</t>
        </is>
      </c>
      <c r="B10" s="6" t="n">
        <v>200</v>
      </c>
      <c r="C10" s="6" t="n">
        <v>1100</v>
      </c>
      <c r="D10" s="6" t="n">
        <v>100</v>
      </c>
      <c r="E10" s="6" t="n">
        <v>50</v>
      </c>
      <c r="F10" s="6" t="n">
        <v>-100</v>
      </c>
      <c r="G10" s="6" t="n">
        <v>100</v>
      </c>
      <c r="H10" s="6" t="n">
        <v>100</v>
      </c>
      <c r="I10" s="6" t="n">
        <v>100</v>
      </c>
    </row>
    <row r="11">
      <c r="A11" s="3" t="inlineStr">
        <is>
          <t xml:space="preserve">  Mark-to-Market / Non-cash items</t>
        </is>
      </c>
      <c r="B11" s="6" t="n">
        <v>-600</v>
      </c>
      <c r="C11" s="6" t="n">
        <v>2600</v>
      </c>
      <c r="D11" s="6" t="n">
        <v>-500</v>
      </c>
      <c r="E11" s="6" t="n">
        <v>-30</v>
      </c>
      <c r="F11" s="6" t="n">
        <v>100</v>
      </c>
      <c r="G11" s="6" t="n">
        <v>50</v>
      </c>
      <c r="H11" s="6" t="n">
        <v>50</v>
      </c>
      <c r="I11" s="6" t="n">
        <v>50</v>
      </c>
    </row>
    <row r="12">
      <c r="A12" s="3" t="inlineStr">
        <is>
          <t xml:space="preserve">  (Increase)/Decrease in Receivables</t>
        </is>
      </c>
      <c r="B12" s="6" t="n">
        <v>-300</v>
      </c>
      <c r="C12" s="6" t="n">
        <v>500</v>
      </c>
      <c r="D12" s="6" t="n">
        <v>-200</v>
      </c>
      <c r="E12" s="6" t="n">
        <v>-100</v>
      </c>
      <c r="F12" s="6" t="n">
        <v>-400</v>
      </c>
      <c r="G12" s="6" t="n">
        <v>-200</v>
      </c>
      <c r="H12" s="6" t="n">
        <v>-200</v>
      </c>
      <c r="I12" s="6" t="n">
        <v>-200</v>
      </c>
    </row>
    <row r="13">
      <c r="A13" s="3" t="inlineStr">
        <is>
          <t xml:space="preserve">  Increase/(Decrease) in Payables &amp; Accruals</t>
        </is>
      </c>
      <c r="B13" s="6" t="n">
        <v>200</v>
      </c>
      <c r="C13" s="6" t="n">
        <v>-300</v>
      </c>
      <c r="D13" s="6" t="n">
        <v>300</v>
      </c>
      <c r="E13" s="6" t="n">
        <v>100</v>
      </c>
      <c r="F13" s="6" t="n">
        <v>300</v>
      </c>
      <c r="G13" s="6" t="n">
        <v>100</v>
      </c>
      <c r="H13" s="6" t="n">
        <v>100</v>
      </c>
      <c r="I13" s="6" t="n">
        <v>100</v>
      </c>
    </row>
    <row r="14">
      <c r="A14" s="3" t="inlineStr">
        <is>
          <t xml:space="preserve">  Other Working Capital Changes</t>
        </is>
      </c>
      <c r="B14" s="6" t="n">
        <v>-100</v>
      </c>
      <c r="C14" s="6" t="n">
        <v>200</v>
      </c>
      <c r="D14" s="6" t="n">
        <v>-100</v>
      </c>
      <c r="E14" s="6" t="n">
        <v>-100</v>
      </c>
      <c r="F14" s="6" t="n">
        <v>0</v>
      </c>
      <c r="G14" s="6" t="n">
        <v>0</v>
      </c>
      <c r="H14" s="6" t="n">
        <v>0</v>
      </c>
      <c r="I14" s="6" t="n">
        <v>0</v>
      </c>
    </row>
    <row r="16">
      <c r="A16" s="12" t="inlineStr">
        <is>
          <t>CASH FROM OPERATIONS (CFO)</t>
        </is>
      </c>
      <c r="B16" s="13">
        <f>SUM(B7:B14)</f>
        <v/>
      </c>
      <c r="C16" s="13">
        <f>SUM(C7:C14)</f>
        <v/>
      </c>
      <c r="D16" s="13">
        <f>SUM(D7:D14)</f>
        <v/>
      </c>
      <c r="E16" s="13">
        <f>SUM(E7:E14)</f>
        <v/>
      </c>
      <c r="F16" s="13">
        <f>SUM(F7:F14)</f>
        <v/>
      </c>
      <c r="G16" s="13">
        <f>SUM(G7:G14)</f>
        <v/>
      </c>
      <c r="H16" s="13">
        <f>SUM(H7:H14)</f>
        <v/>
      </c>
      <c r="I16" s="13">
        <f>SUM(I7:I14)</f>
        <v/>
      </c>
      <c r="J16" s="14" t="n"/>
      <c r="K16" s="14" t="n"/>
      <c r="L16" s="14" t="n"/>
      <c r="M16" s="14" t="n"/>
      <c r="N16" s="14" t="n"/>
    </row>
    <row r="17">
      <c r="A17" s="7" t="inlineStr">
        <is>
          <t xml:space="preserve">  CFO Margin (%)</t>
        </is>
      </c>
      <c r="B17" s="15">
        <f>IF('Income Statement'!B7=0,0,B16/'Income Statement'!B7)</f>
        <v/>
      </c>
      <c r="C17" s="15">
        <f>IF('Income Statement'!C7=0,0,C16/'Income Statement'!C7)</f>
        <v/>
      </c>
      <c r="D17" s="15">
        <f>IF('Income Statement'!D7=0,0,D16/'Income Statement'!D7)</f>
        <v/>
      </c>
      <c r="E17" s="15">
        <f>IF('Income Statement'!E7=0,0,E16/'Income Statement'!E7)</f>
        <v/>
      </c>
      <c r="F17" s="15">
        <f>IF('Income Statement'!F7=0,0,F16/'Income Statement'!F7)</f>
        <v/>
      </c>
      <c r="G17" s="15">
        <f>IF('Income Statement'!G7=0,0,G16/'Income Statement'!G7)</f>
        <v/>
      </c>
      <c r="H17" s="15">
        <f>IF('Income Statement'!H7=0,0,H16/'Income Statement'!H7)</f>
        <v/>
      </c>
      <c r="I17" s="15">
        <f>IF('Income Statement'!I7=0,0,I16/'Income Statement'!I7)</f>
        <v/>
      </c>
    </row>
    <row r="19">
      <c r="A19" s="17" t="inlineStr">
        <is>
          <t>INVESTING ACTIVITIES</t>
        </is>
      </c>
    </row>
    <row r="20">
      <c r="A20" s="3" t="inlineStr">
        <is>
          <t xml:space="preserve">  Capital Expenditures (Maintenance + Growth)</t>
        </is>
      </c>
      <c r="B20" s="6" t="n">
        <v>-1800</v>
      </c>
      <c r="C20" s="6" t="n">
        <v>-2200</v>
      </c>
      <c r="D20" s="6" t="n">
        <v>-2600</v>
      </c>
      <c r="E20" s="6" t="n">
        <v>-2950</v>
      </c>
      <c r="F20" s="6" t="n">
        <v>-3500</v>
      </c>
      <c r="G20" s="6" t="n">
        <v>-3200</v>
      </c>
      <c r="H20" s="6" t="n">
        <v>-3000</v>
      </c>
      <c r="I20" s="6" t="n">
        <v>-2800</v>
      </c>
    </row>
    <row r="21">
      <c r="A21" s="7" t="inlineStr">
        <is>
          <t xml:space="preserve">    CapEx as % of Revenue</t>
        </is>
      </c>
      <c r="B21" s="15">
        <f>ABS(B20)/'Income Statement'!B7</f>
        <v/>
      </c>
      <c r="C21" s="15">
        <f>ABS(C20)/'Income Statement'!C7</f>
        <v/>
      </c>
      <c r="D21" s="15">
        <f>ABS(D20)/'Income Statement'!D7</f>
        <v/>
      </c>
      <c r="E21" s="15">
        <f>ABS(E20)/'Income Statement'!E7</f>
        <v/>
      </c>
      <c r="F21" s="15">
        <f>ABS(F20)/'Income Statement'!F7</f>
        <v/>
      </c>
      <c r="G21" s="15">
        <f>ABS(G20)/'Income Statement'!G7</f>
        <v/>
      </c>
      <c r="H21" s="15">
        <f>ABS(H20)/'Income Statement'!H7</f>
        <v/>
      </c>
      <c r="I21" s="15">
        <f>ABS(I20)/'Income Statement'!I7</f>
        <v/>
      </c>
    </row>
    <row r="22">
      <c r="A22" s="3" t="inlineStr">
        <is>
          <t xml:space="preserve">  Acquisitions (net of cash acquired)</t>
        </is>
      </c>
      <c r="B22" s="6" t="n">
        <v>0</v>
      </c>
      <c r="C22" s="6" t="n">
        <v>0</v>
      </c>
      <c r="D22" s="6" t="n">
        <v>-600</v>
      </c>
      <c r="E22" s="6" t="n">
        <v>-16400</v>
      </c>
      <c r="F22" s="6" t="n">
        <v>0</v>
      </c>
      <c r="G22" s="6" t="n">
        <v>0</v>
      </c>
      <c r="H22" s="6" t="n">
        <v>0</v>
      </c>
      <c r="I22" s="6" t="n">
        <v>0</v>
      </c>
    </row>
    <row r="23">
      <c r="A23" s="3" t="inlineStr">
        <is>
          <t xml:space="preserve">  Nuclear Uprate Investments</t>
        </is>
      </c>
      <c r="B23" s="6" t="n">
        <v>0</v>
      </c>
      <c r="C23" s="6" t="n">
        <v>0</v>
      </c>
      <c r="D23" s="6" t="n">
        <v>-200</v>
      </c>
      <c r="E23" s="6" t="n">
        <v>-500</v>
      </c>
      <c r="F23" s="6" t="n">
        <v>-800</v>
      </c>
      <c r="G23" s="6" t="n">
        <v>-600</v>
      </c>
      <c r="H23" s="6" t="n">
        <v>-400</v>
      </c>
      <c r="I23" s="6" t="n">
        <v>-200</v>
      </c>
    </row>
    <row r="24">
      <c r="A24" s="3" t="inlineStr">
        <is>
          <t xml:space="preserve">  Proceeds from Asset Sales &amp; Other</t>
        </is>
      </c>
      <c r="B24" s="6" t="n">
        <v>0</v>
      </c>
      <c r="C24" s="6" t="n">
        <v>0</v>
      </c>
      <c r="D24" s="6" t="n">
        <v>300</v>
      </c>
      <c r="E24" s="6" t="n">
        <v>100</v>
      </c>
      <c r="F24" s="6" t="n">
        <v>200</v>
      </c>
      <c r="G24" s="6" t="n">
        <v>100</v>
      </c>
      <c r="H24" s="6" t="n">
        <v>100</v>
      </c>
      <c r="I24" s="6" t="n">
        <v>100</v>
      </c>
    </row>
    <row r="26">
      <c r="A26" s="12" t="inlineStr">
        <is>
          <t>CASH FROM INVESTING (CFI)</t>
        </is>
      </c>
      <c r="B26" s="13">
        <f>SUM(B20:B24)</f>
        <v/>
      </c>
      <c r="C26" s="13">
        <f>SUM(C20:C24)</f>
        <v/>
      </c>
      <c r="D26" s="13">
        <f>SUM(D20:D24)</f>
        <v/>
      </c>
      <c r="E26" s="13">
        <f>SUM(E20:E24)</f>
        <v/>
      </c>
      <c r="F26" s="13">
        <f>SUM(F20:F24)</f>
        <v/>
      </c>
      <c r="G26" s="13">
        <f>SUM(G20:G24)</f>
        <v/>
      </c>
      <c r="H26" s="13">
        <f>SUM(H20:H24)</f>
        <v/>
      </c>
      <c r="I26" s="13">
        <f>SUM(I20:I24)</f>
        <v/>
      </c>
      <c r="J26" s="14" t="n"/>
      <c r="K26" s="14" t="n"/>
      <c r="L26" s="14" t="n"/>
      <c r="M26" s="14" t="n"/>
      <c r="N26" s="14" t="n"/>
    </row>
    <row r="28">
      <c r="A28" s="22" t="inlineStr">
        <is>
          <t>FREE CASH FLOW (CFO + CapEx)</t>
        </is>
      </c>
      <c r="B28" s="23">
        <f>B16+B20</f>
        <v/>
      </c>
      <c r="C28" s="23">
        <f>C16+C20</f>
        <v/>
      </c>
      <c r="D28" s="23">
        <f>D16+D20</f>
        <v/>
      </c>
      <c r="E28" s="23">
        <f>E16+E20</f>
        <v/>
      </c>
      <c r="F28" s="23">
        <f>F16+F20</f>
        <v/>
      </c>
      <c r="G28" s="23">
        <f>G16+G20</f>
        <v/>
      </c>
      <c r="H28" s="23">
        <f>H16+H20</f>
        <v/>
      </c>
      <c r="I28" s="23">
        <f>I16+I20</f>
        <v/>
      </c>
      <c r="J28" s="24" t="n"/>
      <c r="K28" s="24" t="n"/>
      <c r="L28" s="24" t="n"/>
      <c r="M28" s="24" t="n"/>
      <c r="N28" s="24" t="n"/>
    </row>
    <row r="29">
      <c r="A29" s="7" t="inlineStr">
        <is>
          <t xml:space="preserve">  FCF Margin (%)</t>
        </is>
      </c>
      <c r="B29" s="15">
        <f>IF('Income Statement'!B7=0,0,B28/'Income Statement'!B7)</f>
        <v/>
      </c>
      <c r="C29" s="15">
        <f>IF('Income Statement'!C7=0,0,C28/'Income Statement'!C7)</f>
        <v/>
      </c>
      <c r="D29" s="15">
        <f>IF('Income Statement'!D7=0,0,D28/'Income Statement'!D7)</f>
        <v/>
      </c>
      <c r="E29" s="15">
        <f>IF('Income Statement'!E7=0,0,E28/'Income Statement'!E7)</f>
        <v/>
      </c>
      <c r="F29" s="15">
        <f>IF('Income Statement'!F7=0,0,F28/'Income Statement'!F7)</f>
        <v/>
      </c>
      <c r="G29" s="15">
        <f>IF('Income Statement'!G7=0,0,G28/'Income Statement'!G7)</f>
        <v/>
      </c>
      <c r="H29" s="15">
        <f>IF('Income Statement'!H7=0,0,H28/'Income Statement'!H7)</f>
        <v/>
      </c>
      <c r="I29" s="15">
        <f>IF('Income Statement'!I7=0,0,I28/'Income Statement'!I7)</f>
        <v/>
      </c>
    </row>
    <row r="30">
      <c r="A30" s="7" t="inlineStr">
        <is>
          <t xml:space="preserve">  FCF per Share ($)</t>
        </is>
      </c>
      <c r="B30" s="25">
        <f>IF('Income Statement'!B42=0,0,B28/'Income Statement'!B42)</f>
        <v/>
      </c>
      <c r="C30" s="25">
        <f>IF('Income Statement'!C42=0,0,C28/'Income Statement'!C42)</f>
        <v/>
      </c>
      <c r="D30" s="25">
        <f>IF('Income Statement'!D42=0,0,D28/'Income Statement'!D42)</f>
        <v/>
      </c>
      <c r="E30" s="25">
        <f>IF('Income Statement'!E42=0,0,E28/'Income Statement'!E42)</f>
        <v/>
      </c>
      <c r="F30" s="25">
        <f>IF('Income Statement'!F42=0,0,F28/'Income Statement'!F42)</f>
        <v/>
      </c>
      <c r="G30" s="25">
        <f>IF('Income Statement'!G42=0,0,G28/'Income Statement'!G42)</f>
        <v/>
      </c>
      <c r="H30" s="25">
        <f>IF('Income Statement'!H42=0,0,H28/'Income Statement'!H42)</f>
        <v/>
      </c>
      <c r="I30" s="25">
        <f>IF('Income Statement'!I42=0,0,I28/'Income Statement'!I42)</f>
        <v/>
      </c>
    </row>
    <row r="32">
      <c r="A32" s="17" t="inlineStr">
        <is>
          <t>FINANCING ACTIVITIES</t>
        </is>
      </c>
    </row>
    <row r="33">
      <c r="A33" s="3" t="inlineStr">
        <is>
          <t xml:space="preserve">  Debt Issuance (net)</t>
        </is>
      </c>
      <c r="B33" s="6" t="n">
        <v>2000</v>
      </c>
      <c r="C33" s="6" t="n">
        <v>500</v>
      </c>
      <c r="D33" s="6" t="n">
        <v>-500</v>
      </c>
      <c r="E33" s="6" t="n">
        <v>2000</v>
      </c>
      <c r="F33" s="6" t="n">
        <v>16000</v>
      </c>
      <c r="G33" s="6" t="n">
        <v>-2000</v>
      </c>
      <c r="H33" s="6" t="n">
        <v>-2000</v>
      </c>
      <c r="I33" s="6" t="n">
        <v>-2000</v>
      </c>
    </row>
    <row r="34">
      <c r="A34" s="3" t="inlineStr">
        <is>
          <t xml:space="preserve">  Share Repurchases</t>
        </is>
      </c>
      <c r="B34" s="6" t="n">
        <v>0</v>
      </c>
      <c r="C34" s="6" t="n">
        <v>-400</v>
      </c>
      <c r="D34" s="6" t="n">
        <v>-700</v>
      </c>
      <c r="E34" s="6" t="n">
        <v>-500</v>
      </c>
      <c r="F34" s="6" t="n">
        <v>-500</v>
      </c>
      <c r="G34" s="6" t="n">
        <v>-500</v>
      </c>
      <c r="H34" s="6" t="n">
        <v>-500</v>
      </c>
      <c r="I34" s="6" t="n">
        <v>-500</v>
      </c>
    </row>
    <row r="35">
      <c r="A35" s="3" t="inlineStr">
        <is>
          <t xml:space="preserve">  Dividends Paid</t>
        </is>
      </c>
      <c r="B35" s="6" t="n">
        <v>0</v>
      </c>
      <c r="C35" s="6" t="n">
        <v>-263</v>
      </c>
      <c r="D35" s="6" t="n">
        <v>-443</v>
      </c>
      <c r="E35" s="6" t="n">
        <v>-527</v>
      </c>
      <c r="F35" s="6" t="n">
        <v>-628</v>
      </c>
      <c r="G35" s="6" t="n">
        <v>-748</v>
      </c>
      <c r="H35" s="6" t="n">
        <v>-868</v>
      </c>
      <c r="I35" s="6" t="n">
        <v>-988</v>
      </c>
    </row>
    <row r="36">
      <c r="A36" s="3" t="inlineStr">
        <is>
          <t xml:space="preserve">  Other Financing Activities</t>
        </is>
      </c>
      <c r="B36" s="6" t="n">
        <v>200</v>
      </c>
      <c r="C36" s="6" t="n">
        <v>-100</v>
      </c>
      <c r="D36" s="6" t="n">
        <v>-200</v>
      </c>
      <c r="E36" s="6" t="n">
        <v>-100</v>
      </c>
      <c r="F36" s="6" t="n">
        <v>-100</v>
      </c>
      <c r="G36" s="6" t="n">
        <v>0</v>
      </c>
      <c r="H36" s="6" t="n">
        <v>0</v>
      </c>
      <c r="I36" s="6" t="n">
        <v>0</v>
      </c>
    </row>
    <row r="38">
      <c r="A38" s="12" t="inlineStr">
        <is>
          <t>CASH FROM FINANCING (CFF)</t>
        </is>
      </c>
      <c r="B38" s="13">
        <f>SUM(B33:B36)</f>
        <v/>
      </c>
      <c r="C38" s="13">
        <f>SUM(C33:C36)</f>
        <v/>
      </c>
      <c r="D38" s="13">
        <f>SUM(D33:D36)</f>
        <v/>
      </c>
      <c r="E38" s="13">
        <f>SUM(E33:E36)</f>
        <v/>
      </c>
      <c r="F38" s="13">
        <f>SUM(F33:F36)</f>
        <v/>
      </c>
      <c r="G38" s="13">
        <f>SUM(G33:G36)</f>
        <v/>
      </c>
      <c r="H38" s="13">
        <f>SUM(H33:H36)</f>
        <v/>
      </c>
      <c r="I38" s="13">
        <f>SUM(I33:I36)</f>
        <v/>
      </c>
      <c r="J38" s="14" t="n"/>
      <c r="K38" s="14" t="n"/>
      <c r="L38" s="14" t="n"/>
      <c r="M38" s="14" t="n"/>
      <c r="N38" s="14" t="n"/>
    </row>
    <row r="40">
      <c r="A40" s="12" t="inlineStr">
        <is>
          <t>NET CHANGE IN CASH</t>
        </is>
      </c>
      <c r="B40" s="13">
        <f>SUM(B16,B26,B38)</f>
        <v/>
      </c>
      <c r="C40" s="13">
        <f>SUM(C16,C26,C38)</f>
        <v/>
      </c>
      <c r="D40" s="13">
        <f>SUM(D16,D26,D38)</f>
        <v/>
      </c>
      <c r="E40" s="13">
        <f>SUM(E16,E26,E38)</f>
        <v/>
      </c>
      <c r="F40" s="13">
        <f>SUM(F16,F26,F38)</f>
        <v/>
      </c>
      <c r="G40" s="13">
        <f>SUM(G16,G26,G38)</f>
        <v/>
      </c>
      <c r="H40" s="13">
        <f>SUM(H16,H26,H38)</f>
        <v/>
      </c>
      <c r="I40" s="13">
        <f>SUM(I16,I26,I38)</f>
        <v/>
      </c>
      <c r="J40" s="14" t="n"/>
      <c r="K40" s="14" t="n"/>
      <c r="L40" s="14" t="n"/>
      <c r="M40" s="14" t="n"/>
      <c r="N40" s="14" t="n"/>
    </row>
    <row r="41">
      <c r="A41" s="3" t="inlineStr">
        <is>
          <t xml:space="preserve">  Beginning Cash Balance</t>
        </is>
      </c>
      <c r="B41" s="6" t="n">
        <v>300</v>
      </c>
      <c r="C41" s="6" t="n">
        <v>200</v>
      </c>
      <c r="D41" s="6" t="n">
        <v>368</v>
      </c>
      <c r="E41" s="6" t="n">
        <v>311</v>
      </c>
      <c r="F41" s="6" t="n">
        <v>550</v>
      </c>
      <c r="G41" s="6" t="n">
        <v>1430</v>
      </c>
      <c r="H41" s="6" t="n">
        <v>2680</v>
      </c>
      <c r="I41" s="6" t="n">
        <v>4130</v>
      </c>
    </row>
    <row r="42">
      <c r="A42" s="12" t="inlineStr">
        <is>
          <t xml:space="preserve">  Ending Cash Balance</t>
        </is>
      </c>
      <c r="B42" s="13">
        <f>B41+B40</f>
        <v/>
      </c>
      <c r="C42" s="13">
        <f>C41+C40</f>
        <v/>
      </c>
      <c r="D42" s="13">
        <f>D41+D40</f>
        <v/>
      </c>
      <c r="E42" s="13">
        <f>E41+E40</f>
        <v/>
      </c>
      <c r="F42" s="13">
        <f>F41+F40</f>
        <v/>
      </c>
      <c r="G42" s="13">
        <f>G41+G40</f>
        <v/>
      </c>
      <c r="H42" s="13">
        <f>H41+H40</f>
        <v/>
      </c>
      <c r="I42" s="13">
        <f>I41+I40</f>
        <v/>
      </c>
      <c r="J42" s="14" t="n"/>
      <c r="K42" s="14" t="n"/>
      <c r="L42" s="14" t="n"/>
      <c r="M42" s="14" t="n"/>
      <c r="N42" s="14" t="n"/>
    </row>
  </sheetData>
  <mergeCells count="4">
    <mergeCell ref="A1:I1"/>
    <mergeCell ref="A32:I32"/>
    <mergeCell ref="A19:I19"/>
    <mergeCell ref="A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CONSTELLATION ENERGY (CEG) — BALANCE SHEET  |  $ in millions</t>
        </is>
      </c>
    </row>
    <row r="4"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2025A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6">
      <c r="A6" s="17" t="inlineStr">
        <is>
          <t>ASSETS</t>
        </is>
      </c>
    </row>
    <row r="7">
      <c r="A7" s="26" t="inlineStr">
        <is>
          <t>Current Assets</t>
        </is>
      </c>
    </row>
    <row r="8">
      <c r="A8" s="3" t="inlineStr">
        <is>
          <t xml:space="preserve">  Cash &amp; Cash Equivalents</t>
        </is>
      </c>
      <c r="B8" s="6" t="n">
        <v>200</v>
      </c>
      <c r="C8" s="6" t="n">
        <v>368</v>
      </c>
      <c r="D8" s="6" t="n">
        <v>311</v>
      </c>
      <c r="E8" s="6" t="n">
        <v>550</v>
      </c>
      <c r="F8" s="6" t="n">
        <v>1430</v>
      </c>
      <c r="G8" s="6" t="n">
        <v>2680</v>
      </c>
      <c r="H8" s="6" t="n">
        <v>4130</v>
      </c>
      <c r="I8" s="6" t="n">
        <v>5680</v>
      </c>
    </row>
    <row r="9">
      <c r="A9" s="3" t="inlineStr">
        <is>
          <t xml:space="preserve">  Accounts Receivable (net)</t>
        </is>
      </c>
      <c r="B9" s="6" t="n">
        <v>3200</v>
      </c>
      <c r="C9" s="6" t="n">
        <v>3000</v>
      </c>
      <c r="D9" s="6" t="n">
        <v>3100</v>
      </c>
      <c r="E9" s="6" t="n">
        <v>3200</v>
      </c>
      <c r="F9" s="6" t="n">
        <v>4200</v>
      </c>
      <c r="G9" s="6" t="n">
        <v>4400</v>
      </c>
      <c r="H9" s="6" t="n">
        <v>4600</v>
      </c>
      <c r="I9" s="6" t="n">
        <v>4800</v>
      </c>
    </row>
    <row r="10">
      <c r="A10" s="3" t="inlineStr">
        <is>
          <t xml:space="preserve">  Fuel &amp; Energy Inventories</t>
        </is>
      </c>
      <c r="B10" s="6" t="n">
        <v>600</v>
      </c>
      <c r="C10" s="6" t="n">
        <v>700</v>
      </c>
      <c r="D10" s="6" t="n">
        <v>750</v>
      </c>
      <c r="E10" s="6" t="n">
        <v>800</v>
      </c>
      <c r="F10" s="6" t="n">
        <v>1100</v>
      </c>
      <c r="G10" s="6" t="n">
        <v>1150</v>
      </c>
      <c r="H10" s="6" t="n">
        <v>1200</v>
      </c>
      <c r="I10" s="6" t="n">
        <v>1250</v>
      </c>
    </row>
    <row r="11">
      <c r="A11" s="3" t="inlineStr">
        <is>
          <t xml:space="preserve">  Mark-to-Market Derivative Assets (current)</t>
        </is>
      </c>
      <c r="B11" s="6" t="n">
        <v>4000</v>
      </c>
      <c r="C11" s="6" t="n">
        <v>4200</v>
      </c>
      <c r="D11" s="6" t="n">
        <v>4500</v>
      </c>
      <c r="E11" s="6" t="n">
        <v>4800</v>
      </c>
      <c r="F11" s="6" t="n">
        <v>5200</v>
      </c>
      <c r="G11" s="6" t="n">
        <v>5000</v>
      </c>
      <c r="H11" s="6" t="n">
        <v>4800</v>
      </c>
      <c r="I11" s="6" t="n">
        <v>4600</v>
      </c>
    </row>
    <row r="12">
      <c r="A12" s="3" t="inlineStr">
        <is>
          <t xml:space="preserve">  Prepaid &amp; Other Current Assets</t>
        </is>
      </c>
      <c r="B12" s="6" t="n">
        <v>1500</v>
      </c>
      <c r="C12" s="6" t="n">
        <v>1600</v>
      </c>
      <c r="D12" s="6" t="n">
        <v>1700</v>
      </c>
      <c r="E12" s="6" t="n">
        <v>1800</v>
      </c>
      <c r="F12" s="6" t="n">
        <v>2500</v>
      </c>
      <c r="G12" s="6" t="n">
        <v>2600</v>
      </c>
      <c r="H12" s="6" t="n">
        <v>2700</v>
      </c>
      <c r="I12" s="6" t="n">
        <v>2800</v>
      </c>
    </row>
    <row r="13">
      <c r="A13" s="12" t="inlineStr">
        <is>
          <t>Total Current Assets</t>
        </is>
      </c>
      <c r="B13" s="13">
        <f>SUM(B8:B12)</f>
        <v/>
      </c>
      <c r="C13" s="13">
        <f>SUM(C8:C12)</f>
        <v/>
      </c>
      <c r="D13" s="13">
        <f>SUM(D8:D12)</f>
        <v/>
      </c>
      <c r="E13" s="13">
        <f>SUM(E8:E12)</f>
        <v/>
      </c>
      <c r="F13" s="13">
        <f>SUM(F8:F12)</f>
        <v/>
      </c>
      <c r="G13" s="13">
        <f>SUM(G8:G12)</f>
        <v/>
      </c>
      <c r="H13" s="13">
        <f>SUM(H8:H12)</f>
        <v/>
      </c>
      <c r="I13" s="13">
        <f>SUM(I8:I12)</f>
        <v/>
      </c>
      <c r="J13" s="14" t="n"/>
      <c r="K13" s="14" t="n"/>
      <c r="L13" s="14" t="n"/>
      <c r="M13" s="14" t="n"/>
      <c r="N13" s="14" t="n"/>
    </row>
    <row r="15">
      <c r="A15" s="26" t="inlineStr">
        <is>
          <t>Non-Current Assets</t>
        </is>
      </c>
    </row>
    <row r="16">
      <c r="A16" s="3" t="inlineStr">
        <is>
          <t xml:space="preserve">  Property, Plant &amp; Equipment (Gross)</t>
        </is>
      </c>
      <c r="B16" s="6" t="n">
        <v>22000</v>
      </c>
      <c r="C16" s="6" t="n">
        <v>24000</v>
      </c>
      <c r="D16" s="6" t="n">
        <v>26000</v>
      </c>
      <c r="E16" s="6" t="n">
        <v>28000</v>
      </c>
      <c r="F16" s="6" t="n">
        <v>52000</v>
      </c>
      <c r="G16" s="6" t="n">
        <v>54000</v>
      </c>
      <c r="H16" s="6" t="n">
        <v>55500</v>
      </c>
      <c r="I16" s="6" t="n">
        <v>57000</v>
      </c>
    </row>
    <row r="17">
      <c r="A17" s="3" t="inlineStr">
        <is>
          <t xml:space="preserve">  Less: Accumulated Depreciation</t>
        </is>
      </c>
      <c r="B17" s="6" t="n">
        <v>-9000</v>
      </c>
      <c r="C17" s="6" t="n">
        <v>-9800</v>
      </c>
      <c r="D17" s="6" t="n">
        <v>-10700</v>
      </c>
      <c r="E17" s="6" t="n">
        <v>-11600</v>
      </c>
      <c r="F17" s="6" t="n">
        <v>-13400</v>
      </c>
      <c r="G17" s="6" t="n">
        <v>-15300</v>
      </c>
      <c r="H17" s="6" t="n">
        <v>-17250</v>
      </c>
      <c r="I17" s="6" t="n">
        <v>-19250</v>
      </c>
    </row>
    <row r="18">
      <c r="A18" s="12" t="inlineStr">
        <is>
          <t xml:space="preserve">  PP&amp;E, Net</t>
        </is>
      </c>
      <c r="B18" s="13">
        <f>B16+B17</f>
        <v/>
      </c>
      <c r="C18" s="13">
        <f>C16+C17</f>
        <v/>
      </c>
      <c r="D18" s="13">
        <f>D16+D17</f>
        <v/>
      </c>
      <c r="E18" s="13">
        <f>E16+E17</f>
        <v/>
      </c>
      <c r="F18" s="13">
        <f>F16+F17</f>
        <v/>
      </c>
      <c r="G18" s="13">
        <f>G16+G17</f>
        <v/>
      </c>
      <c r="H18" s="13">
        <f>H16+H17</f>
        <v/>
      </c>
      <c r="I18" s="13">
        <f>I16+I17</f>
        <v/>
      </c>
      <c r="J18" s="14" t="n"/>
      <c r="K18" s="14" t="n"/>
      <c r="L18" s="14" t="n"/>
      <c r="M18" s="14" t="n"/>
      <c r="N18" s="14" t="n"/>
    </row>
    <row r="19">
      <c r="A19" s="3" t="inlineStr">
        <is>
          <t xml:space="preserve">  Goodwill</t>
        </is>
      </c>
      <c r="B19" s="6" t="n">
        <v>3500</v>
      </c>
      <c r="C19" s="6" t="n">
        <v>3800</v>
      </c>
      <c r="D19" s="6" t="n">
        <v>4000</v>
      </c>
      <c r="E19" s="6" t="n">
        <v>4100</v>
      </c>
      <c r="F19" s="6" t="n">
        <v>19000</v>
      </c>
      <c r="G19" s="6" t="n">
        <v>18800</v>
      </c>
      <c r="H19" s="6" t="n">
        <v>18600</v>
      </c>
      <c r="I19" s="6" t="n">
        <v>18400</v>
      </c>
    </row>
    <row r="20">
      <c r="A20" s="3" t="inlineStr">
        <is>
          <t xml:space="preserve">  Intangible Assets (net)</t>
        </is>
      </c>
      <c r="B20" s="6" t="n">
        <v>1200</v>
      </c>
      <c r="C20" s="6" t="n">
        <v>1100</v>
      </c>
      <c r="D20" s="6" t="n">
        <v>1000</v>
      </c>
      <c r="E20" s="6" t="n">
        <v>900</v>
      </c>
      <c r="F20" s="6" t="n">
        <v>5500</v>
      </c>
      <c r="G20" s="6" t="n">
        <v>5000</v>
      </c>
      <c r="H20" s="6" t="n">
        <v>4500</v>
      </c>
      <c r="I20" s="6" t="n">
        <v>4000</v>
      </c>
    </row>
    <row r="21">
      <c r="A21" s="3" t="inlineStr">
        <is>
          <t xml:space="preserve">  Nuclear Decommissioning Trust Funds</t>
        </is>
      </c>
      <c r="B21" s="6" t="n">
        <v>8000</v>
      </c>
      <c r="C21" s="6" t="n">
        <v>9000</v>
      </c>
      <c r="D21" s="6" t="n">
        <v>10000</v>
      </c>
      <c r="E21" s="6" t="n">
        <v>11000</v>
      </c>
      <c r="F21" s="6" t="n">
        <v>11500</v>
      </c>
      <c r="G21" s="6" t="n">
        <v>12000</v>
      </c>
      <c r="H21" s="6" t="n">
        <v>12500</v>
      </c>
      <c r="I21" s="6" t="n">
        <v>13000</v>
      </c>
    </row>
    <row r="22">
      <c r="A22" s="3" t="inlineStr">
        <is>
          <t xml:space="preserve">  Mark-to-Market Derivative Assets (LT)</t>
        </is>
      </c>
      <c r="B22" s="6" t="n">
        <v>4200</v>
      </c>
      <c r="C22" s="6" t="n">
        <v>4500</v>
      </c>
      <c r="D22" s="6" t="n">
        <v>4700</v>
      </c>
      <c r="E22" s="6" t="n">
        <v>5000</v>
      </c>
      <c r="F22" s="6" t="n">
        <v>5500</v>
      </c>
      <c r="G22" s="6" t="n">
        <v>5200</v>
      </c>
      <c r="H22" s="6" t="n">
        <v>4900</v>
      </c>
      <c r="I22" s="6" t="n">
        <v>4600</v>
      </c>
    </row>
    <row r="23">
      <c r="A23" s="3" t="inlineStr">
        <is>
          <t xml:space="preserve">  Other Non-Current Assets</t>
        </is>
      </c>
      <c r="B23" s="6" t="n">
        <v>2209</v>
      </c>
      <c r="C23" s="6" t="n">
        <v>2990</v>
      </c>
      <c r="D23" s="6" t="n">
        <v>3115</v>
      </c>
      <c r="E23" s="6" t="n">
        <v>3476</v>
      </c>
      <c r="F23" s="6" t="n">
        <v>4000</v>
      </c>
      <c r="G23" s="6" t="n">
        <v>4100</v>
      </c>
      <c r="H23" s="6" t="n">
        <v>4200</v>
      </c>
      <c r="I23" s="6" t="n">
        <v>4300</v>
      </c>
    </row>
    <row r="24">
      <c r="A24" s="12" t="inlineStr">
        <is>
          <t>Total Non-Current Assets</t>
        </is>
      </c>
      <c r="B24" s="13">
        <f>SUM(B18:B23)</f>
        <v/>
      </c>
      <c r="C24" s="13">
        <f>SUM(C18:C23)</f>
        <v/>
      </c>
      <c r="D24" s="13">
        <f>SUM(D18:D23)</f>
        <v/>
      </c>
      <c r="E24" s="13">
        <f>SUM(E18:E23)</f>
        <v/>
      </c>
      <c r="F24" s="13">
        <f>SUM(F18:F23)</f>
        <v/>
      </c>
      <c r="G24" s="13">
        <f>SUM(G18:G23)</f>
        <v/>
      </c>
      <c r="H24" s="13">
        <f>SUM(H18:H23)</f>
        <v/>
      </c>
      <c r="I24" s="13">
        <f>SUM(I18:I23)</f>
        <v/>
      </c>
      <c r="J24" s="14" t="n"/>
      <c r="K24" s="14" t="n"/>
      <c r="L24" s="14" t="n"/>
      <c r="M24" s="14" t="n"/>
      <c r="N24" s="14" t="n"/>
    </row>
    <row r="26">
      <c r="A26" s="12" t="inlineStr">
        <is>
          <t>TOTAL ASSETS</t>
        </is>
      </c>
      <c r="B26" s="13">
        <f>B13+B24</f>
        <v/>
      </c>
      <c r="C26" s="13">
        <f>C13+C24</f>
        <v/>
      </c>
      <c r="D26" s="13">
        <f>D13+D24</f>
        <v/>
      </c>
      <c r="E26" s="13">
        <f>E13+E24</f>
        <v/>
      </c>
      <c r="F26" s="13">
        <f>F13+F24</f>
        <v/>
      </c>
      <c r="G26" s="13">
        <f>G13+G24</f>
        <v/>
      </c>
      <c r="H26" s="13">
        <f>H13+H24</f>
        <v/>
      </c>
      <c r="I26" s="13">
        <f>I13+I24</f>
        <v/>
      </c>
      <c r="J26" s="14" t="n"/>
      <c r="K26" s="14" t="n"/>
      <c r="L26" s="14" t="n"/>
      <c r="M26" s="14" t="n"/>
      <c r="N26" s="14" t="n"/>
    </row>
    <row r="28">
      <c r="A28" s="17" t="inlineStr">
        <is>
          <t>LIABILITIES &amp; SHAREHOLDERS' EQUITY</t>
        </is>
      </c>
    </row>
    <row r="29">
      <c r="A29" s="27" t="inlineStr">
        <is>
          <t>Current Liabilities</t>
        </is>
      </c>
    </row>
    <row r="30">
      <c r="A30" s="3" t="inlineStr">
        <is>
          <t xml:space="preserve">  Accounts Payable &amp; Accrued Expenses</t>
        </is>
      </c>
      <c r="B30" s="6" t="n">
        <v>2000</v>
      </c>
      <c r="C30" s="6" t="n">
        <v>2200</v>
      </c>
      <c r="D30" s="6" t="n">
        <v>2400</v>
      </c>
      <c r="E30" s="6" t="n">
        <v>2500</v>
      </c>
      <c r="F30" s="6" t="n">
        <v>3500</v>
      </c>
      <c r="G30" s="6" t="n">
        <v>3600</v>
      </c>
      <c r="H30" s="6" t="n">
        <v>3700</v>
      </c>
      <c r="I30" s="6" t="n">
        <v>3800</v>
      </c>
    </row>
    <row r="31">
      <c r="A31" s="3" t="inlineStr">
        <is>
          <t xml:space="preserve">  Mark-to-Market Derivative Liabilities (current)</t>
        </is>
      </c>
      <c r="B31" s="6" t="n">
        <v>4500</v>
      </c>
      <c r="C31" s="6" t="n">
        <v>4800</v>
      </c>
      <c r="D31" s="6" t="n">
        <v>5000</v>
      </c>
      <c r="E31" s="6" t="n">
        <v>5200</v>
      </c>
      <c r="F31" s="6" t="n">
        <v>5700</v>
      </c>
      <c r="G31" s="6" t="n">
        <v>5400</v>
      </c>
      <c r="H31" s="6" t="n">
        <v>5100</v>
      </c>
      <c r="I31" s="6" t="n">
        <v>4800</v>
      </c>
    </row>
    <row r="32">
      <c r="A32" s="3" t="inlineStr">
        <is>
          <t xml:space="preserve">  Current Portion of Long-Term Debt</t>
        </is>
      </c>
      <c r="B32" s="6" t="n">
        <v>500</v>
      </c>
      <c r="C32" s="6" t="n">
        <v>600</v>
      </c>
      <c r="D32" s="6" t="n">
        <v>400</v>
      </c>
      <c r="E32" s="6" t="n">
        <v>500</v>
      </c>
      <c r="F32" s="6" t="n">
        <v>1500</v>
      </c>
      <c r="G32" s="6" t="n">
        <v>1500</v>
      </c>
      <c r="H32" s="6" t="n">
        <v>1500</v>
      </c>
      <c r="I32" s="6" t="n">
        <v>1500</v>
      </c>
    </row>
    <row r="33">
      <c r="A33" s="3" t="inlineStr">
        <is>
          <t xml:space="preserve">  Other Current Liabilities</t>
        </is>
      </c>
      <c r="B33" s="6" t="n">
        <v>1500</v>
      </c>
      <c r="C33" s="6" t="n">
        <v>1600</v>
      </c>
      <c r="D33" s="6" t="n">
        <v>1700</v>
      </c>
      <c r="E33" s="6" t="n">
        <v>1800</v>
      </c>
      <c r="F33" s="6" t="n">
        <v>2500</v>
      </c>
      <c r="G33" s="6" t="n">
        <v>2600</v>
      </c>
      <c r="H33" s="6" t="n">
        <v>2700</v>
      </c>
      <c r="I33" s="6" t="n">
        <v>2800</v>
      </c>
    </row>
    <row r="34">
      <c r="A34" s="12" t="inlineStr">
        <is>
          <t>Total Current Liabilities</t>
        </is>
      </c>
      <c r="B34" s="13">
        <f>SUM(B30:B33)</f>
        <v/>
      </c>
      <c r="C34" s="13">
        <f>SUM(C30:C33)</f>
        <v/>
      </c>
      <c r="D34" s="13">
        <f>SUM(D30:D33)</f>
        <v/>
      </c>
      <c r="E34" s="13">
        <f>SUM(E30:E33)</f>
        <v/>
      </c>
      <c r="F34" s="13">
        <f>SUM(F30:F33)</f>
        <v/>
      </c>
      <c r="G34" s="13">
        <f>SUM(G30:G33)</f>
        <v/>
      </c>
      <c r="H34" s="13">
        <f>SUM(H30:H33)</f>
        <v/>
      </c>
      <c r="I34" s="13">
        <f>SUM(I30:I33)</f>
        <v/>
      </c>
      <c r="J34" s="14" t="n"/>
      <c r="K34" s="14" t="n"/>
      <c r="L34" s="14" t="n"/>
      <c r="M34" s="14" t="n"/>
      <c r="N34" s="14" t="n"/>
    </row>
    <row r="36">
      <c r="A36" s="27" t="inlineStr">
        <is>
          <t>Non-Current Liabilities</t>
        </is>
      </c>
    </row>
    <row r="37">
      <c r="A37" s="3" t="inlineStr">
        <is>
          <t xml:space="preserve">  Long-Term Debt (net of current portion)</t>
        </is>
      </c>
      <c r="B37" s="6" t="n">
        <v>6800</v>
      </c>
      <c r="C37" s="6" t="n">
        <v>8661</v>
      </c>
      <c r="D37" s="6" t="n">
        <v>8012</v>
      </c>
      <c r="E37" s="6" t="n">
        <v>7500</v>
      </c>
      <c r="F37" s="6" t="n">
        <v>23000</v>
      </c>
      <c r="G37" s="6" t="n">
        <v>21000</v>
      </c>
      <c r="H37" s="6" t="n">
        <v>19000</v>
      </c>
      <c r="I37" s="6" t="n">
        <v>17000</v>
      </c>
    </row>
    <row r="38">
      <c r="A38" s="3" t="inlineStr">
        <is>
          <t xml:space="preserve">  Nuclear Asset Retirement Obligations</t>
        </is>
      </c>
      <c r="B38" s="6" t="n">
        <v>5000</v>
      </c>
      <c r="C38" s="6" t="n">
        <v>5500</v>
      </c>
      <c r="D38" s="6" t="n">
        <v>6000</v>
      </c>
      <c r="E38" s="6" t="n">
        <v>6500</v>
      </c>
      <c r="F38" s="6" t="n">
        <v>7000</v>
      </c>
      <c r="G38" s="6" t="n">
        <v>7200</v>
      </c>
      <c r="H38" s="6" t="n">
        <v>7400</v>
      </c>
      <c r="I38" s="6" t="n">
        <v>7600</v>
      </c>
    </row>
    <row r="39">
      <c r="A39" s="3" t="inlineStr">
        <is>
          <t xml:space="preserve">  Mark-to-Market Derivative Liabilities (LT)</t>
        </is>
      </c>
      <c r="B39" s="6" t="n">
        <v>4200</v>
      </c>
      <c r="C39" s="6" t="n">
        <v>4500</v>
      </c>
      <c r="D39" s="6" t="n">
        <v>4700</v>
      </c>
      <c r="E39" s="6" t="n">
        <v>4900</v>
      </c>
      <c r="F39" s="6" t="n">
        <v>5400</v>
      </c>
      <c r="G39" s="6" t="n">
        <v>5100</v>
      </c>
      <c r="H39" s="6" t="n">
        <v>4800</v>
      </c>
      <c r="I39" s="6" t="n">
        <v>4500</v>
      </c>
    </row>
    <row r="40">
      <c r="A40" s="3" t="inlineStr">
        <is>
          <t xml:space="preserve">  Deferred Income Taxes</t>
        </is>
      </c>
      <c r="B40" s="6" t="n">
        <v>3000</v>
      </c>
      <c r="C40" s="6" t="n">
        <v>3200</v>
      </c>
      <c r="D40" s="6" t="n">
        <v>3400</v>
      </c>
      <c r="E40" s="6" t="n">
        <v>3600</v>
      </c>
      <c r="F40" s="6" t="n">
        <v>5000</v>
      </c>
      <c r="G40" s="6" t="n">
        <v>5100</v>
      </c>
      <c r="H40" s="6" t="n">
        <v>5200</v>
      </c>
      <c r="I40" s="6" t="n">
        <v>5300</v>
      </c>
    </row>
    <row r="41">
      <c r="A41" s="3" t="inlineStr">
        <is>
          <t xml:space="preserve">  Other Non-Current Liabilities</t>
        </is>
      </c>
      <c r="B41" s="6" t="n">
        <v>3600</v>
      </c>
      <c r="C41" s="6" t="n">
        <v>3800</v>
      </c>
      <c r="D41" s="6" t="n">
        <v>4000</v>
      </c>
      <c r="E41" s="6" t="n">
        <v>4100</v>
      </c>
      <c r="F41" s="6" t="n">
        <v>5500</v>
      </c>
      <c r="G41" s="6" t="n">
        <v>5600</v>
      </c>
      <c r="H41" s="6" t="n">
        <v>5700</v>
      </c>
      <c r="I41" s="6" t="n">
        <v>5800</v>
      </c>
    </row>
    <row r="42">
      <c r="A42" s="12" t="inlineStr">
        <is>
          <t>Total Non-Current Liabilities</t>
        </is>
      </c>
      <c r="B42" s="13">
        <f>SUM(B37:B41)</f>
        <v/>
      </c>
      <c r="C42" s="13">
        <f>SUM(C37:C41)</f>
        <v/>
      </c>
      <c r="D42" s="13">
        <f>SUM(D37:D41)</f>
        <v/>
      </c>
      <c r="E42" s="13">
        <f>SUM(E37:E41)</f>
        <v/>
      </c>
      <c r="F42" s="13">
        <f>SUM(F37:F41)</f>
        <v/>
      </c>
      <c r="G42" s="13">
        <f>SUM(G37:G41)</f>
        <v/>
      </c>
      <c r="H42" s="13">
        <f>SUM(H37:H41)</f>
        <v/>
      </c>
      <c r="I42" s="13">
        <f>SUM(I37:I41)</f>
        <v/>
      </c>
      <c r="J42" s="14" t="n"/>
      <c r="K42" s="14" t="n"/>
      <c r="L42" s="14" t="n"/>
      <c r="M42" s="14" t="n"/>
      <c r="N42" s="14" t="n"/>
    </row>
    <row r="44">
      <c r="A44" s="12" t="inlineStr">
        <is>
          <t>TOTAL LIABILITIES</t>
        </is>
      </c>
      <c r="B44" s="13">
        <f>B34+B42</f>
        <v/>
      </c>
      <c r="C44" s="13">
        <f>C34+C42</f>
        <v/>
      </c>
      <c r="D44" s="13">
        <f>D34+D42</f>
        <v/>
      </c>
      <c r="E44" s="13">
        <f>E34+E42</f>
        <v/>
      </c>
      <c r="F44" s="13">
        <f>F34+F42</f>
        <v/>
      </c>
      <c r="G44" s="13">
        <f>G34+G42</f>
        <v/>
      </c>
      <c r="H44" s="13">
        <f>H34+H42</f>
        <v/>
      </c>
      <c r="I44" s="13">
        <f>I34+I42</f>
        <v/>
      </c>
      <c r="J44" s="14" t="n"/>
      <c r="K44" s="14" t="n"/>
      <c r="L44" s="14" t="n"/>
      <c r="M44" s="14" t="n"/>
      <c r="N44" s="14" t="n"/>
    </row>
    <row r="46">
      <c r="A46" s="28" t="inlineStr">
        <is>
          <t>Shareholders' Equity</t>
        </is>
      </c>
    </row>
    <row r="47">
      <c r="A47" s="3" t="inlineStr">
        <is>
          <t xml:space="preserve">  Common Stock &amp; Additional Paid-In Capital</t>
        </is>
      </c>
      <c r="B47" s="6" t="n">
        <v>13500</v>
      </c>
      <c r="C47" s="6" t="n">
        <v>13700</v>
      </c>
      <c r="D47" s="6" t="n">
        <v>13900</v>
      </c>
      <c r="E47" s="6" t="n">
        <v>14000</v>
      </c>
      <c r="F47" s="6" t="n">
        <v>14200</v>
      </c>
      <c r="G47" s="6" t="n">
        <v>14400</v>
      </c>
      <c r="H47" s="6" t="n">
        <v>14600</v>
      </c>
      <c r="I47" s="6" t="n">
        <v>14800</v>
      </c>
    </row>
    <row r="48">
      <c r="A48" s="3" t="inlineStr">
        <is>
          <t xml:space="preserve">  Retained Earnings / (Accumulated Deficit)</t>
        </is>
      </c>
      <c r="B48" s="6" t="n">
        <v>-5000</v>
      </c>
      <c r="C48" s="6" t="n">
        <v>-4500</v>
      </c>
      <c r="D48" s="6" t="n">
        <v>-1200</v>
      </c>
      <c r="E48" s="6" t="n">
        <v>1500</v>
      </c>
      <c r="F48" s="6" t="n">
        <v>4050</v>
      </c>
      <c r="G48" s="6" t="n">
        <v>7685</v>
      </c>
      <c r="H48" s="6" t="n">
        <v>11470</v>
      </c>
      <c r="I48" s="6" t="n">
        <v>15455</v>
      </c>
    </row>
    <row r="49">
      <c r="A49" s="3" t="inlineStr">
        <is>
          <t xml:space="preserve">  Accumulated Other Comprehensive Income / (Loss)</t>
        </is>
      </c>
      <c r="B49" s="6" t="n">
        <v>-200</v>
      </c>
      <c r="C49" s="6" t="n">
        <v>-300</v>
      </c>
      <c r="D49" s="6" t="n">
        <v>-400</v>
      </c>
      <c r="E49" s="6" t="n">
        <v>-500</v>
      </c>
      <c r="F49" s="6" t="n">
        <v>-200</v>
      </c>
      <c r="G49" s="6" t="n">
        <v>-200</v>
      </c>
      <c r="H49" s="6" t="n">
        <v>-200</v>
      </c>
      <c r="I49" s="6" t="n">
        <v>-200</v>
      </c>
    </row>
    <row r="50">
      <c r="A50" s="3" t="inlineStr">
        <is>
          <t xml:space="preserve">  Treasury Stock</t>
        </is>
      </c>
      <c r="B50" s="6" t="n">
        <v>0</v>
      </c>
      <c r="C50" s="6" t="n">
        <v>-400</v>
      </c>
      <c r="D50" s="6" t="n">
        <v>-1100</v>
      </c>
      <c r="E50" s="6" t="n">
        <v>-1600</v>
      </c>
      <c r="F50" s="6" t="n">
        <v>-2100</v>
      </c>
      <c r="G50" s="6" t="n">
        <v>-2600</v>
      </c>
      <c r="H50" s="6" t="n">
        <v>-3100</v>
      </c>
      <c r="I50" s="6" t="n">
        <v>-3600</v>
      </c>
    </row>
    <row r="51">
      <c r="A51" s="12" t="inlineStr">
        <is>
          <t>TOTAL SHAREHOLDERS' EQUITY</t>
        </is>
      </c>
      <c r="B51" s="13">
        <f>SUM(B47:B50)</f>
        <v/>
      </c>
      <c r="C51" s="13">
        <f>SUM(C47:C50)</f>
        <v/>
      </c>
      <c r="D51" s="13">
        <f>SUM(D47:D50)</f>
        <v/>
      </c>
      <c r="E51" s="13">
        <f>SUM(E47:E50)</f>
        <v/>
      </c>
      <c r="F51" s="13">
        <f>SUM(F47:F50)</f>
        <v/>
      </c>
      <c r="G51" s="13">
        <f>SUM(G47:G50)</f>
        <v/>
      </c>
      <c r="H51" s="13">
        <f>SUM(H47:H50)</f>
        <v/>
      </c>
      <c r="I51" s="13">
        <f>SUM(I47:I50)</f>
        <v/>
      </c>
      <c r="J51" s="14" t="n"/>
      <c r="K51" s="14" t="n"/>
      <c r="L51" s="14" t="n"/>
      <c r="M51" s="14" t="n"/>
      <c r="N51" s="14" t="n"/>
    </row>
    <row r="53">
      <c r="A53" s="12" t="inlineStr">
        <is>
          <t>TOTAL LIABILITIES + EQUITY</t>
        </is>
      </c>
      <c r="B53" s="13">
        <f>B44+B51</f>
        <v/>
      </c>
      <c r="C53" s="13">
        <f>C44+C51</f>
        <v/>
      </c>
      <c r="D53" s="13">
        <f>D44+D51</f>
        <v/>
      </c>
      <c r="E53" s="13">
        <f>E44+E51</f>
        <v/>
      </c>
      <c r="F53" s="13">
        <f>F44+F51</f>
        <v/>
      </c>
      <c r="G53" s="13">
        <f>G44+G51</f>
        <v/>
      </c>
      <c r="H53" s="13">
        <f>H44+H51</f>
        <v/>
      </c>
      <c r="I53" s="13">
        <f>I44+I51</f>
        <v/>
      </c>
      <c r="J53" s="14" t="n"/>
      <c r="K53" s="14" t="n"/>
      <c r="L53" s="14" t="n"/>
      <c r="M53" s="14" t="n"/>
      <c r="N53" s="14" t="n"/>
    </row>
    <row r="55">
      <c r="A55" s="5" t="inlineStr">
        <is>
          <t xml:space="preserve">  ✓ Balance Check (Assets - L&amp;E)</t>
        </is>
      </c>
      <c r="B55" s="23">
        <f>B26-B53</f>
        <v/>
      </c>
      <c r="C55" s="23">
        <f>C26-C53</f>
        <v/>
      </c>
      <c r="D55" s="23">
        <f>D26-D53</f>
        <v/>
      </c>
      <c r="E55" s="23">
        <f>E26-E53</f>
        <v/>
      </c>
      <c r="F55" s="23">
        <f>F26-F53</f>
        <v/>
      </c>
      <c r="G55" s="23">
        <f>G26-G53</f>
        <v/>
      </c>
      <c r="H55" s="23">
        <f>H26-H53</f>
        <v/>
      </c>
      <c r="I55" s="23">
        <f>I26-I53</f>
        <v/>
      </c>
    </row>
    <row r="57">
      <c r="A57" s="16" t="inlineStr">
        <is>
          <t>KEY BALANCE SHEET RATIOS</t>
        </is>
      </c>
    </row>
    <row r="59">
      <c r="A59" s="3" t="inlineStr">
        <is>
          <t xml:space="preserve">  Total Debt ($M)</t>
        </is>
      </c>
      <c r="B59" s="29">
        <f>B32+B37</f>
        <v/>
      </c>
      <c r="C59" s="29">
        <f>C32+C37</f>
        <v/>
      </c>
      <c r="D59" s="29">
        <f>D32+D37</f>
        <v/>
      </c>
      <c r="E59" s="29">
        <f>E32+E37</f>
        <v/>
      </c>
      <c r="F59" s="29">
        <f>F32+F37</f>
        <v/>
      </c>
      <c r="G59" s="29">
        <f>G32+G37</f>
        <v/>
      </c>
      <c r="H59" s="29">
        <f>H32+H37</f>
        <v/>
      </c>
      <c r="I59" s="29">
        <f>I32+I37</f>
        <v/>
      </c>
    </row>
    <row r="60">
      <c r="A60" s="3" t="inlineStr">
        <is>
          <t xml:space="preserve">  Net Debt ($M)</t>
        </is>
      </c>
      <c r="B60" s="29">
        <f>B59-B8</f>
        <v/>
      </c>
      <c r="C60" s="29">
        <f>C59-C8</f>
        <v/>
      </c>
      <c r="D60" s="29">
        <f>D59-D8</f>
        <v/>
      </c>
      <c r="E60" s="29">
        <f>E59-E8</f>
        <v/>
      </c>
      <c r="F60" s="29">
        <f>F59-F8</f>
        <v/>
      </c>
      <c r="G60" s="29">
        <f>G59-G8</f>
        <v/>
      </c>
      <c r="H60" s="29">
        <f>H59-H8</f>
        <v/>
      </c>
      <c r="I60" s="29">
        <f>I59-I8</f>
        <v/>
      </c>
    </row>
    <row r="61">
      <c r="A61" s="3" t="inlineStr">
        <is>
          <t xml:space="preserve">  Net Debt / Adj. EBITDA (x)</t>
        </is>
      </c>
      <c r="B61" s="30">
        <f>IF('Income Statement'!B52=0,0,B60/'Income Statement'!B52)</f>
        <v/>
      </c>
      <c r="C61" s="30">
        <f>IF('Income Statement'!C52=0,0,C60/'Income Statement'!C52)</f>
        <v/>
      </c>
      <c r="D61" s="30">
        <f>IF('Income Statement'!D52=0,0,D60/'Income Statement'!D52)</f>
        <v/>
      </c>
      <c r="E61" s="30">
        <f>IF('Income Statement'!E52=0,0,E60/'Income Statement'!E52)</f>
        <v/>
      </c>
      <c r="F61" s="30">
        <f>IF('Income Statement'!F52=0,0,F60/'Income Statement'!F52)</f>
        <v/>
      </c>
      <c r="G61" s="30">
        <f>IF('Income Statement'!G52=0,0,G60/'Income Statement'!G52)</f>
        <v/>
      </c>
      <c r="H61" s="30">
        <f>IF('Income Statement'!H52=0,0,H60/'Income Statement'!H52)</f>
        <v/>
      </c>
      <c r="I61" s="30">
        <f>IF('Income Statement'!I52=0,0,I60/'Income Statement'!I52)</f>
        <v/>
      </c>
    </row>
    <row r="62">
      <c r="A62" s="3" t="inlineStr">
        <is>
          <t xml:space="preserve">  Debt / Total Capital (%)</t>
        </is>
      </c>
      <c r="B62" s="15">
        <f>IF((B59+B51)=0,0,B59/(B59+B51))</f>
        <v/>
      </c>
      <c r="C62" s="15">
        <f>IF((C59+C51)=0,0,C59/(C59+C51))</f>
        <v/>
      </c>
      <c r="D62" s="15">
        <f>IF((D59+D51)=0,0,D59/(D59+D51))</f>
        <v/>
      </c>
      <c r="E62" s="15">
        <f>IF((E59+E51)=0,0,E59/(E59+E51))</f>
        <v/>
      </c>
      <c r="F62" s="15">
        <f>IF((F59+F51)=0,0,F59/(F59+F51))</f>
        <v/>
      </c>
      <c r="G62" s="15">
        <f>IF((G59+G51)=0,0,G59/(G59+G51))</f>
        <v/>
      </c>
      <c r="H62" s="15">
        <f>IF((H59+H51)=0,0,H59/(H59+H51))</f>
        <v/>
      </c>
      <c r="I62" s="15">
        <f>IF((I59+I51)=0,0,I59/(I59+I51))</f>
        <v/>
      </c>
    </row>
    <row r="63">
      <c r="A63" s="3" t="inlineStr">
        <is>
          <t xml:space="preserve">  Book Value per Share ($)</t>
        </is>
      </c>
      <c r="B63" s="25">
        <f>IF('Income Statement'!B42=0,0,B51/'Income Statement'!B42)</f>
        <v/>
      </c>
      <c r="C63" s="25">
        <f>IF('Income Statement'!C42=0,0,C51/'Income Statement'!C42)</f>
        <v/>
      </c>
      <c r="D63" s="25">
        <f>IF('Income Statement'!D42=0,0,D51/'Income Statement'!D42)</f>
        <v/>
      </c>
      <c r="E63" s="25">
        <f>IF('Income Statement'!E42=0,0,E51/'Income Statement'!E42)</f>
        <v/>
      </c>
      <c r="F63" s="25">
        <f>IF('Income Statement'!F42=0,0,F51/'Income Statement'!F42)</f>
        <v/>
      </c>
      <c r="G63" s="25">
        <f>IF('Income Statement'!G42=0,0,G51/'Income Statement'!G42)</f>
        <v/>
      </c>
      <c r="H63" s="25">
        <f>IF('Income Statement'!H42=0,0,H51/'Income Statement'!H42)</f>
        <v/>
      </c>
      <c r="I63" s="25">
        <f>IF('Income Statement'!I42=0,0,I51/'Income Statement'!I42)</f>
        <v/>
      </c>
    </row>
  </sheetData>
  <mergeCells count="9">
    <mergeCell ref="A15:I15"/>
    <mergeCell ref="A7:I7"/>
    <mergeCell ref="A29:I29"/>
    <mergeCell ref="A57:I57"/>
    <mergeCell ref="A28:I28"/>
    <mergeCell ref="A46:I46"/>
    <mergeCell ref="A36:I36"/>
    <mergeCell ref="A1:I1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CONSTELLATION ENERGY (CEG) — SCENARIO ANALYSIS</t>
        </is>
      </c>
    </row>
    <row r="3">
      <c r="A3" s="16" t="inlineStr">
        <is>
          <t>BULL / BASE / BEAR CASE ASSUMPTIONS  (Projection Period 2026E–2029E)</t>
        </is>
      </c>
    </row>
    <row r="5">
      <c r="A5" s="17" t="inlineStr">
        <is>
          <t>KEY REVENUE &amp; PROFITABILITY ASSUMPTIONS</t>
        </is>
      </c>
      <c r="B5" s="4" t="inlineStr">
        <is>
          <t>BULL CASE</t>
        </is>
      </c>
      <c r="C5" s="4" t="inlineStr">
        <is>
          <t>BASE CASE</t>
        </is>
      </c>
      <c r="D5" s="4" t="inlineStr">
        <is>
          <t>BEAR CASE</t>
        </is>
      </c>
    </row>
    <row r="7">
      <c r="A7" s="3" t="inlineStr">
        <is>
          <t xml:space="preserve">  Revenue CAGR 2025→2029</t>
        </is>
      </c>
      <c r="B7" s="31" t="n">
        <v>0.21</v>
      </c>
      <c r="C7" s="31" t="n">
        <v>0.17</v>
      </c>
      <c r="D7" s="31" t="n">
        <v>0.1</v>
      </c>
    </row>
    <row r="8">
      <c r="A8" s="3" t="inlineStr">
        <is>
          <t xml:space="preserve">  Nuclear PPA contracted share (2029)</t>
        </is>
      </c>
      <c r="B8" s="31" t="n">
        <v>0.5</v>
      </c>
      <c r="C8" s="31" t="n">
        <v>0.4</v>
      </c>
      <c r="D8" s="31" t="n">
        <v>0.3</v>
      </c>
    </row>
    <row r="9">
      <c r="A9" s="3" t="inlineStr">
        <is>
          <t xml:space="preserve">  Calpine EBITDA contribution ($M, 2026)</t>
        </is>
      </c>
      <c r="B9" s="32" t="n">
        <v>2500</v>
      </c>
      <c r="C9" s="32" t="n">
        <v>2000</v>
      </c>
      <c r="D9" s="32" t="n">
        <v>1500</v>
      </c>
    </row>
    <row r="10">
      <c r="A10" s="3" t="inlineStr">
        <is>
          <t xml:space="preserve">  Adj. EBITDA Margin (2029)</t>
        </is>
      </c>
      <c r="B10" s="31" t="n">
        <v>0.3</v>
      </c>
      <c r="C10" s="31" t="n">
        <v>0.27</v>
      </c>
      <c r="D10" s="31" t="n">
        <v>0.22</v>
      </c>
    </row>
    <row r="11">
      <c r="A11" s="3" t="inlineStr">
        <is>
          <t xml:space="preserve">  CapEx as % of Revenue (2029)</t>
        </is>
      </c>
      <c r="B11" s="31" t="n">
        <v>0.07000000000000001</v>
      </c>
      <c r="C11" s="31" t="n">
        <v>0.08</v>
      </c>
      <c r="D11" s="31" t="n">
        <v>0.1</v>
      </c>
    </row>
    <row r="12">
      <c r="A12" s="3" t="inlineStr">
        <is>
          <t xml:space="preserve">  Annual Debt Repayment ($M, avg)</t>
        </is>
      </c>
      <c r="B12" s="32" t="n">
        <v>2500</v>
      </c>
      <c r="C12" s="32" t="n">
        <v>2000</v>
      </c>
      <c r="D12" s="32" t="n">
        <v>1500</v>
      </c>
    </row>
    <row r="13">
      <c r="A13" s="3" t="inlineStr">
        <is>
          <t xml:space="preserve">  Share Buyback ($M/yr avg)</t>
        </is>
      </c>
      <c r="B13" s="32" t="n">
        <v>700</v>
      </c>
      <c r="C13" s="32" t="n">
        <v>500</v>
      </c>
      <c r="D13" s="32" t="n">
        <v>300</v>
      </c>
    </row>
    <row r="14">
      <c r="A14" s="3" t="inlineStr">
        <is>
          <t xml:space="preserve">  Nuclear capacity factor</t>
        </is>
      </c>
      <c r="B14" s="31" t="n">
        <v>0.93</v>
      </c>
      <c r="C14" s="31" t="n">
        <v>0.925</v>
      </c>
      <c r="D14" s="31" t="n">
        <v>0.9</v>
      </c>
    </row>
    <row r="15">
      <c r="A15" s="3" t="inlineStr">
        <is>
          <t xml:space="preserve">  Realized nuclear price $/MWh (2029)</t>
        </is>
      </c>
      <c r="B15" s="32" t="n">
        <v>152</v>
      </c>
      <c r="C15" s="32" t="n">
        <v>138</v>
      </c>
      <c r="D15" s="32" t="n">
        <v>118</v>
      </c>
    </row>
    <row r="17">
      <c r="A17" s="4" t="inlineStr">
        <is>
          <t>2026E FINANCIAL OUTPUTS</t>
        </is>
      </c>
    </row>
    <row r="18">
      <c r="B18" s="4" t="inlineStr">
        <is>
          <t>BULL</t>
        </is>
      </c>
      <c r="C18" s="4" t="inlineStr">
        <is>
          <t>BASE</t>
        </is>
      </c>
      <c r="D18" s="4" t="inlineStr">
        <is>
          <t>BEAR</t>
        </is>
      </c>
    </row>
    <row r="19">
      <c r="A19" s="5" t="inlineStr">
        <is>
          <t xml:space="preserve">  Total Revenue ($M)</t>
        </is>
      </c>
      <c r="B19" s="33" t="n">
        <v>37500</v>
      </c>
      <c r="C19" s="33" t="n">
        <v>34400</v>
      </c>
      <c r="D19" s="33" t="n">
        <v>31000</v>
      </c>
    </row>
    <row r="20">
      <c r="A20" s="5" t="inlineStr">
        <is>
          <t xml:space="preserve">  Adj. EBITDA ($M)</t>
        </is>
      </c>
      <c r="B20" s="33" t="n">
        <v>10200</v>
      </c>
      <c r="C20" s="33" t="n">
        <v>8000</v>
      </c>
      <c r="D20" s="33" t="n">
        <v>6800</v>
      </c>
    </row>
    <row r="21">
      <c r="A21" s="5" t="inlineStr">
        <is>
          <t xml:space="preserve">  Adj. EBITDA Margin</t>
        </is>
      </c>
      <c r="B21" s="34" t="n">
        <v>0.272</v>
      </c>
      <c r="C21" s="34" t="n">
        <v>0.233</v>
      </c>
      <c r="D21" s="34" t="n">
        <v>0.219</v>
      </c>
    </row>
    <row r="22">
      <c r="A22" s="5" t="inlineStr">
        <is>
          <t xml:space="preserve">  Adj. Net Income ($M)</t>
        </is>
      </c>
      <c r="B22" s="33" t="n">
        <v>4040</v>
      </c>
      <c r="C22" s="33" t="n">
        <v>3685</v>
      </c>
      <c r="D22" s="33" t="n">
        <v>3130</v>
      </c>
    </row>
    <row r="23">
      <c r="A23" s="5" t="inlineStr">
        <is>
          <t xml:space="preserve">  Adj. EPS</t>
        </is>
      </c>
      <c r="B23" s="35" t="n">
        <v>12.8</v>
      </c>
      <c r="C23" s="35" t="n">
        <v>11.74</v>
      </c>
      <c r="D23" s="35" t="n">
        <v>9.9</v>
      </c>
    </row>
    <row r="24">
      <c r="A24" s="5" t="inlineStr">
        <is>
          <t xml:space="preserve">  Free Cash Flow ($M)</t>
        </is>
      </c>
      <c r="B24" s="33" t="n">
        <v>3000</v>
      </c>
      <c r="C24" s="33" t="n">
        <v>2000</v>
      </c>
      <c r="D24" s="33" t="n">
        <v>1000</v>
      </c>
    </row>
    <row r="25">
      <c r="A25" s="5" t="inlineStr">
        <is>
          <t xml:space="preserve">  Net Debt / EBITDA (x)</t>
        </is>
      </c>
      <c r="B25" s="36" t="inlineStr">
        <is>
          <t>3.1x</t>
        </is>
      </c>
      <c r="C25" s="36" t="inlineStr">
        <is>
          <t>3.8x</t>
        </is>
      </c>
      <c r="D25" s="36" t="inlineStr">
        <is>
          <t>4.8x</t>
        </is>
      </c>
    </row>
    <row r="28">
      <c r="A28" s="4" t="inlineStr">
        <is>
          <t>2029E FINANCIAL OUTPUTS</t>
        </is>
      </c>
    </row>
    <row r="29">
      <c r="B29" s="4" t="inlineStr">
        <is>
          <t>BULL</t>
        </is>
      </c>
      <c r="C29" s="4" t="inlineStr">
        <is>
          <t>BASE</t>
        </is>
      </c>
      <c r="D29" s="4" t="inlineStr">
        <is>
          <t>BEAR</t>
        </is>
      </c>
    </row>
    <row r="30">
      <c r="A30" s="5" t="inlineStr">
        <is>
          <t xml:space="preserve">  Total Revenue ($M)</t>
        </is>
      </c>
      <c r="B30" s="33" t="n">
        <v>48000</v>
      </c>
      <c r="C30" s="33" t="n">
        <v>40500</v>
      </c>
      <c r="D30" s="33" t="n">
        <v>33500</v>
      </c>
    </row>
    <row r="31">
      <c r="A31" s="5" t="inlineStr">
        <is>
          <t xml:space="preserve">  Adj. EBITDA ($M)</t>
        </is>
      </c>
      <c r="B31" s="33" t="n">
        <v>14400</v>
      </c>
      <c r="C31" s="33" t="n">
        <v>10500</v>
      </c>
      <c r="D31" s="33" t="n">
        <v>7400</v>
      </c>
    </row>
    <row r="32">
      <c r="A32" s="5" t="inlineStr">
        <is>
          <t xml:space="preserve">  Adj. EBITDA Margin</t>
        </is>
      </c>
      <c r="B32" s="34" t="n">
        <v>0.3</v>
      </c>
      <c r="C32" s="34" t="n">
        <v>0.259</v>
      </c>
      <c r="D32" s="34" t="n">
        <v>0.221</v>
      </c>
    </row>
    <row r="33">
      <c r="A33" s="5" t="inlineStr">
        <is>
          <t xml:space="preserve">  Adj. Net Income ($M)</t>
        </is>
      </c>
      <c r="B33" s="33" t="n">
        <v>6500</v>
      </c>
      <c r="C33" s="33" t="n">
        <v>5082</v>
      </c>
      <c r="D33" s="33" t="n">
        <v>3700</v>
      </c>
    </row>
    <row r="34">
      <c r="A34" s="5" t="inlineStr">
        <is>
          <t xml:space="preserve">  Adj. EPS</t>
        </is>
      </c>
      <c r="B34" s="36" t="n">
        <v>21</v>
      </c>
      <c r="C34" s="36" t="n">
        <v>16.5</v>
      </c>
      <c r="D34" s="36" t="n">
        <v>12</v>
      </c>
    </row>
    <row r="35">
      <c r="A35" s="5" t="inlineStr">
        <is>
          <t xml:space="preserve">  Free Cash Flow ($M)</t>
        </is>
      </c>
      <c r="B35" s="33" t="n">
        <v>6000</v>
      </c>
      <c r="C35" s="33" t="n">
        <v>4000</v>
      </c>
      <c r="D35" s="33" t="n">
        <v>1500</v>
      </c>
    </row>
    <row r="36">
      <c r="A36" s="5" t="inlineStr">
        <is>
          <t xml:space="preserve">  Cumulative FCF 2026-2029 ($M)</t>
        </is>
      </c>
      <c r="B36" s="33" t="n">
        <v>18000</v>
      </c>
      <c r="C36" s="33" t="n">
        <v>12000</v>
      </c>
      <c r="D36" s="33" t="n">
        <v>5500</v>
      </c>
    </row>
    <row r="37">
      <c r="A37" s="5" t="inlineStr">
        <is>
          <t xml:space="preserve">  Net Debt / EBITDA (x)</t>
        </is>
      </c>
      <c r="B37" s="36" t="inlineStr">
        <is>
          <t>0.9x</t>
        </is>
      </c>
      <c r="C37" s="36" t="inlineStr">
        <is>
          <t>2.0x</t>
        </is>
      </c>
      <c r="D37" s="36" t="inlineStr">
        <is>
          <t>3.8x</t>
        </is>
      </c>
    </row>
    <row r="38">
      <c r="A38" s="5" t="inlineStr">
        <is>
          <t xml:space="preserve">  Implied Stock Price (16x P/E)</t>
        </is>
      </c>
      <c r="B38" s="36" t="inlineStr">
        <is>
          <t>$336</t>
        </is>
      </c>
      <c r="C38" s="36" t="inlineStr">
        <is>
          <t>$264</t>
        </is>
      </c>
      <c r="D38" s="36" t="inlineStr">
        <is>
          <t>$192</t>
        </is>
      </c>
    </row>
    <row r="41">
      <c r="A41" s="16" t="inlineStr">
        <is>
          <t>SCENARIO NARRATIVE</t>
        </is>
      </c>
    </row>
    <row r="43">
      <c r="A43" s="37" t="inlineStr">
        <is>
          <t>BULL CASE</t>
        </is>
      </c>
    </row>
    <row r="44" ht="50" customHeight="1">
      <c r="A44" s="38" t="inlineStr">
        <is>
          <t>All 5,650 MW of PPA pipeline executes by 2028; Calpine synergies of $500M+ achieved; nuclear uprates deliver ahead of schedule; hyperscaler demand accelerates, driving additional premium contracts; power prices elevated by AI-driven demand surge; no adverse regulatory/PTC changes. EPS CAGR ~28% (2025→2029).</t>
        </is>
      </c>
    </row>
    <row r="45" ht="14" customHeight="1"/>
    <row r="46">
      <c r="A46" s="37" t="inlineStr">
        <is>
          <t>BASE CASE</t>
        </is>
      </c>
    </row>
    <row r="47" ht="50" customHeight="1">
      <c r="A47" s="38" t="inlineStr">
        <is>
          <t>PPA pipeline executes per current schedule (Microsoft 2027, Meta ongoing); Calpine synergies ~$300M achieved by 2027; nuclear capacity factors hold ~92-93%; 45U PTC provides floor through 2027 before gradual phase-down; moderate power price appreciation; steady debt deleveraging. EPS CAGR ~15% (2025→2029).</t>
        </is>
      </c>
    </row>
    <row r="48" ht="14" customHeight="1"/>
    <row r="49">
      <c r="A49" s="37" t="inlineStr">
        <is>
          <t>BEAR CASE</t>
        </is>
      </c>
    </row>
    <row r="50" ht="50" customHeight="1">
      <c r="A50" s="38" t="inlineStr">
        <is>
          <t>Crane Clean Energy Center restart delayed to 2028+; Calpine integration costs exceed budget; adverse FERC market rule changes reduce capacity revenues; 45U PTC modified legislatively; wholesale power prices compress due to renewable overbuild; integration distraction slows new PPA origination. EPS CAGR ~6% (2025→2029).</t>
        </is>
      </c>
    </row>
    <row r="51" ht="14" customHeight="1"/>
  </sheetData>
  <mergeCells count="11">
    <mergeCell ref="A43:E43"/>
    <mergeCell ref="A47:E48"/>
    <mergeCell ref="A28:E28"/>
    <mergeCell ref="A50:E51"/>
    <mergeCell ref="A41:E41"/>
    <mergeCell ref="A49:E49"/>
    <mergeCell ref="A1:E1"/>
    <mergeCell ref="A46:E46"/>
    <mergeCell ref="A17:E17"/>
    <mergeCell ref="A44:E4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CONSTELLATION ENERGY (CEG) — DCF INPUTS  |  $ in millions</t>
        </is>
      </c>
    </row>
    <row r="2">
      <c r="A2" s="2" t="inlineStr">
        <is>
          <t>Prepared for Task 3 Valuation Analysis  |  Base Case assumptions</t>
        </is>
      </c>
    </row>
    <row r="4">
      <c r="A4" s="3" t="inlineStr"/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G4" s="4" t="inlineStr">
        <is>
          <t>Notes / Source</t>
        </is>
      </c>
    </row>
    <row r="6">
      <c r="A6" s="17" t="inlineStr">
        <is>
          <t>UNLEVERED FREE CASH FLOW BRIDGE</t>
        </is>
      </c>
    </row>
    <row r="8">
      <c r="A8" s="3" t="inlineStr">
        <is>
          <t xml:space="preserve">  EBIT (Operating Income, Adjusted)</t>
        </is>
      </c>
      <c r="B8" s="6" t="n">
        <v>4600</v>
      </c>
      <c r="C8" s="6" t="n">
        <v>5550</v>
      </c>
      <c r="D8" s="6" t="n">
        <v>6450</v>
      </c>
      <c r="E8" s="6" t="n">
        <v>7350</v>
      </c>
      <c r="G8" s="39" t="inlineStr">
        <is>
          <t>From Income Statement tab, adjusted for non-cash items</t>
        </is>
      </c>
    </row>
    <row r="9">
      <c r="A9" s="3" t="inlineStr">
        <is>
          <t xml:space="preserve">  Effective Tax Rate (on EBIT)</t>
        </is>
      </c>
      <c r="B9" s="10" t="n">
        <v>0.15</v>
      </c>
      <c r="C9" s="10" t="n">
        <v>0.15</v>
      </c>
      <c r="D9" s="10" t="n">
        <v>0.15</v>
      </c>
      <c r="E9" s="10" t="n">
        <v>0.15</v>
      </c>
      <c r="G9" s="39" t="inlineStr">
        <is>
          <t>Blended rate; 45U PTC reduces cash taxes materially</t>
        </is>
      </c>
    </row>
    <row r="10">
      <c r="A10" s="12" t="inlineStr">
        <is>
          <t xml:space="preserve">  NOPAT (Net Operating Profit After Tax)</t>
        </is>
      </c>
      <c r="B10" s="13">
        <f>B8*(1-B9)</f>
        <v/>
      </c>
      <c r="C10" s="13">
        <f>C8*(1-C9)</f>
        <v/>
      </c>
      <c r="D10" s="13">
        <f>D8*(1-D9)</f>
        <v/>
      </c>
      <c r="E10" s="13">
        <f>E8*(1-E9)</f>
        <v/>
      </c>
      <c r="F10" s="14" t="n"/>
    </row>
    <row r="12">
      <c r="A12" s="3" t="inlineStr">
        <is>
          <t xml:space="preserve">  (+) Depreciation &amp; Amortization</t>
        </is>
      </c>
      <c r="B12" s="6" t="n">
        <v>1800</v>
      </c>
      <c r="C12" s="6" t="n">
        <v>1900</v>
      </c>
      <c r="D12" s="6" t="n">
        <v>1950</v>
      </c>
      <c r="E12" s="6" t="n">
        <v>2000</v>
      </c>
    </row>
    <row r="13">
      <c r="A13" s="3" t="inlineStr">
        <is>
          <t xml:space="preserve">  (-) Capital Expenditures</t>
        </is>
      </c>
      <c r="B13" s="6" t="n">
        <v>-3500</v>
      </c>
      <c r="C13" s="6" t="n">
        <v>-3200</v>
      </c>
      <c r="D13" s="6" t="n">
        <v>-3000</v>
      </c>
      <c r="E13" s="6" t="n">
        <v>-2800</v>
      </c>
    </row>
    <row r="14">
      <c r="A14" s="3" t="inlineStr">
        <is>
          <t xml:space="preserve">  (-) Change in Net Working Capital</t>
        </is>
      </c>
      <c r="B14" s="6" t="n">
        <v>-300</v>
      </c>
      <c r="C14" s="6" t="n">
        <v>-200</v>
      </c>
      <c r="D14" s="6" t="n">
        <v>-200</v>
      </c>
      <c r="E14" s="6" t="n">
        <v>-200</v>
      </c>
    </row>
    <row r="16">
      <c r="A16" s="12" t="inlineStr">
        <is>
          <t>UNLEVERED FREE CASH FLOW (UFCF)</t>
        </is>
      </c>
      <c r="B16" s="13">
        <f>SUM(B10,B12,B13,B14)</f>
        <v/>
      </c>
      <c r="C16" s="13">
        <f>SUM(C10,C12,C13,C14)</f>
        <v/>
      </c>
      <c r="D16" s="13">
        <f>SUM(D10,D12,D13,D14)</f>
        <v/>
      </c>
      <c r="E16" s="13">
        <f>SUM(E10,E12,E13,E14)</f>
        <v/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>
      <c r="A17" s="7" t="inlineStr">
        <is>
          <t xml:space="preserve">  UFCF Margin (%)</t>
        </is>
      </c>
      <c r="B17" s="15">
        <f>IF('Income Statement'!B7=0,0,B16/'Income Statement'!B7)</f>
        <v/>
      </c>
      <c r="C17" s="15">
        <f>IF('Income Statement'!C7=0,0,C16/'Income Statement'!C7)</f>
        <v/>
      </c>
      <c r="D17" s="15">
        <f>IF('Income Statement'!D7=0,0,D16/'Income Statement'!D7)</f>
        <v/>
      </c>
      <c r="E17" s="15">
        <f>IF('Income Statement'!E7=0,0,E16/'Income Statement'!E7)</f>
        <v/>
      </c>
    </row>
    <row r="18">
      <c r="A18" s="7" t="inlineStr">
        <is>
          <t xml:space="preserve">  YoY UFCF Growth (%)</t>
        </is>
      </c>
      <c r="C18" s="15">
        <f>IF(B16=0,0,(C16-B16)/B16)</f>
        <v/>
      </c>
      <c r="D18" s="15">
        <f>IF(C16=0,0,(D16-C16)/C16)</f>
        <v/>
      </c>
      <c r="E18" s="15">
        <f>IF(D16=0,0,(E16-D16)/D16)</f>
        <v/>
      </c>
    </row>
    <row r="20">
      <c r="A20" s="16" t="inlineStr">
        <is>
          <t>WACC ASSUMPTIONS</t>
        </is>
      </c>
    </row>
    <row r="22">
      <c r="A22" s="3" t="inlineStr">
        <is>
          <t xml:space="preserve">  Risk-Free Rate (10-yr UST yield)</t>
        </is>
      </c>
      <c r="B22" s="10" t="n">
        <v>0.044</v>
      </c>
      <c r="G22" s="39" t="inlineStr">
        <is>
          <t>US Treasury 10-year as of June 2026</t>
        </is>
      </c>
    </row>
    <row r="23">
      <c r="A23" s="3" t="inlineStr">
        <is>
          <t xml:space="preserve">  Equity Risk Premium</t>
        </is>
      </c>
      <c r="B23" s="10" t="n">
        <v>0.055</v>
      </c>
      <c r="G23" s="39" t="inlineStr">
        <is>
          <t>Damodaran market ERP estimate</t>
        </is>
      </c>
    </row>
    <row r="24">
      <c r="A24" s="3" t="inlineStr">
        <is>
          <t xml:space="preserve">  Beta (5-yr monthly vs S&amp;P 500)</t>
        </is>
      </c>
      <c r="B24" s="10" t="n">
        <v>0.65</v>
      </c>
      <c r="G24" s="39" t="inlineStr">
        <is>
          <t>Constellation regulated-ish utility characteristics; source: Bloomberg</t>
        </is>
      </c>
    </row>
    <row r="25">
      <c r="A25" s="3" t="inlineStr">
        <is>
          <t xml:space="preserve">  Cost of Equity (CAPM)</t>
        </is>
      </c>
      <c r="B25" s="40">
        <f>B22+B24*B23</f>
        <v/>
      </c>
      <c r="G25" s="39">
        <f> Risk-Free Rate + Beta × ERP</f>
        <v/>
      </c>
    </row>
    <row r="26">
      <c r="A26" s="3" t="inlineStr">
        <is>
          <t xml:space="preserve">  Pre-Tax Cost of Debt</t>
        </is>
      </c>
      <c r="B26" s="10" t="n">
        <v>0.055</v>
      </c>
      <c r="G26" s="39" t="inlineStr">
        <is>
          <t>Blended rate on post-Calpine debt stack</t>
        </is>
      </c>
    </row>
    <row r="27">
      <c r="A27" s="3" t="inlineStr">
        <is>
          <t xml:space="preserve">  Tax Rate (for after-tax cost)</t>
        </is>
      </c>
      <c r="B27" s="10" t="n">
        <v>0.15</v>
      </c>
      <c r="G27" s="39" t="inlineStr">
        <is>
          <t>Blended effective rate</t>
        </is>
      </c>
    </row>
    <row r="28">
      <c r="A28" s="3" t="inlineStr">
        <is>
          <t xml:space="preserve">  After-Tax Cost of Debt</t>
        </is>
      </c>
      <c r="B28" s="40">
        <f>B26*(1-B27)</f>
        <v/>
      </c>
      <c r="G28" s="39">
        <f> Pre-Tax Cost × (1 - Tax Rate)</f>
        <v/>
      </c>
    </row>
    <row r="29">
      <c r="A29" s="3" t="inlineStr">
        <is>
          <t xml:space="preserve">  Equity Weight (% of Total Capital)</t>
        </is>
      </c>
      <c r="B29" s="10" t="n">
        <v>0.45</v>
      </c>
      <c r="G29" s="39" t="inlineStr">
        <is>
          <t>Market cap / (Market cap + Net Debt)</t>
        </is>
      </c>
    </row>
    <row r="30">
      <c r="A30" s="3" t="inlineStr">
        <is>
          <t xml:space="preserve">  Debt Weight (% of Total Capital)</t>
        </is>
      </c>
      <c r="B30" s="10" t="n">
        <v>0.55</v>
      </c>
      <c r="G30" s="39" t="inlineStr">
        <is>
          <t>Net Debt / (Market cap + Net Debt)</t>
        </is>
      </c>
    </row>
    <row r="31">
      <c r="A31" s="3" t="inlineStr">
        <is>
          <t xml:space="preserve">  WACC</t>
        </is>
      </c>
      <c r="B31" s="41">
        <f>B29*B25+B30*B28</f>
        <v/>
      </c>
      <c r="G31" s="39">
        <f> E% × Cost of Equity + D% × After-Tax Cost of Debt</f>
        <v/>
      </c>
    </row>
    <row r="34">
      <c r="A34" s="16" t="inlineStr">
        <is>
          <t>TERMINAL VALUE ASSUMPTIONS</t>
        </is>
      </c>
    </row>
    <row r="36">
      <c r="A36" s="3" t="inlineStr">
        <is>
          <t xml:space="preserve">  Terminal Year (2029E) UFCF ($M)</t>
        </is>
      </c>
      <c r="B36" s="29">
        <f>F16</f>
        <v/>
      </c>
      <c r="G36" s="39" t="inlineStr">
        <is>
          <t>Linked from UFCF row above</t>
        </is>
      </c>
    </row>
    <row r="37">
      <c r="A37" s="3" t="inlineStr">
        <is>
          <t xml:space="preserve">  Terminal Growth Rate (g)</t>
        </is>
      </c>
      <c r="B37" s="10" t="n">
        <v>0.025</v>
      </c>
      <c r="G37" s="39" t="inlineStr">
        <is>
          <t>Long-term nuclear + clean energy demand growth</t>
        </is>
      </c>
    </row>
    <row r="38">
      <c r="A38" s="3" t="inlineStr">
        <is>
          <t xml:space="preserve">  Terminal Value (Gordon Growth Model)</t>
        </is>
      </c>
      <c r="B38" s="42">
        <f>F16/(B31-B36)</f>
        <v/>
      </c>
      <c r="G38" s="39" t="inlineStr">
        <is>
          <t>TV = UFCF₂₀₂₉ / (WACC - g)</t>
        </is>
      </c>
    </row>
    <row r="39">
      <c r="A39" s="3" t="inlineStr">
        <is>
          <t xml:space="preserve">  Terminal Year EBITDA ($M)</t>
        </is>
      </c>
      <c r="B39" s="6" t="n">
        <v>10500</v>
      </c>
      <c r="G39" s="39" t="inlineStr">
        <is>
          <t>Base case 2029E Adj. EBITDA</t>
        </is>
      </c>
    </row>
    <row r="40">
      <c r="A40" s="3" t="inlineStr">
        <is>
          <t xml:space="preserve">  EV/EBITDA Exit Multiple</t>
        </is>
      </c>
      <c r="B40" s="6" t="n">
        <v>14</v>
      </c>
      <c r="G40" s="39" t="inlineStr">
        <is>
          <t>Peer group median; 12-16x range</t>
        </is>
      </c>
    </row>
    <row r="41">
      <c r="A41" s="3" t="inlineStr">
        <is>
          <t xml:space="preserve">  Terminal Value (EV/EBITDA Method)</t>
        </is>
      </c>
      <c r="B41" s="42">
        <f>B40*B41</f>
        <v/>
      </c>
      <c r="G41" s="39" t="inlineStr">
        <is>
          <t>TV = EBITDA × Exit Multiple</t>
        </is>
      </c>
    </row>
    <row r="44">
      <c r="A44" s="4" t="inlineStr">
        <is>
          <t>SUMMARY: KEY METRICS FOR TASK 3 VALUATION</t>
        </is>
      </c>
    </row>
    <row r="46">
      <c r="A46" s="43" t="inlineStr">
        <is>
          <t xml:space="preserve">  WACC (Base)</t>
        </is>
      </c>
      <c r="B46" s="44">
        <f>B31</f>
        <v/>
      </c>
      <c r="C46" s="45" t="n"/>
      <c r="D46" s="45" t="n"/>
      <c r="E46" s="45" t="n"/>
      <c r="F46" s="45" t="n"/>
      <c r="G46" s="39" t="inlineStr">
        <is>
          <t>Cost of capital for DCF discounting</t>
        </is>
      </c>
    </row>
    <row r="47">
      <c r="A47" s="43" t="inlineStr">
        <is>
          <t xml:space="preserve">  Terminal Growth Rate</t>
        </is>
      </c>
      <c r="B47" s="44">
        <f>B36</f>
        <v/>
      </c>
      <c r="C47" s="45" t="n"/>
      <c r="D47" s="45" t="n"/>
      <c r="E47" s="45" t="n"/>
      <c r="F47" s="45" t="n"/>
      <c r="G47" s="39" t="inlineStr">
        <is>
          <t>Long-run FCF growth</t>
        </is>
      </c>
    </row>
    <row r="48">
      <c r="A48" s="43" t="inlineStr">
        <is>
          <t xml:space="preserve">  2029E Revenue ($M)</t>
        </is>
      </c>
      <c r="B48" s="46">
        <f>'Income Statement'!F7</f>
        <v/>
      </c>
      <c r="C48" s="45" t="n"/>
      <c r="D48" s="45" t="n"/>
      <c r="E48" s="45" t="n"/>
      <c r="F48" s="45" t="n"/>
      <c r="G48" s="39" t="inlineStr">
        <is>
          <t>Base case projection</t>
        </is>
      </c>
    </row>
    <row r="49">
      <c r="A49" s="43" t="inlineStr">
        <is>
          <t xml:space="preserve">  2029E Adj. EBITDA ($M)</t>
        </is>
      </c>
      <c r="B49" s="46">
        <f>'Income Statement'!F52</f>
        <v/>
      </c>
      <c r="C49" s="45" t="n"/>
      <c r="D49" s="45" t="n"/>
      <c r="E49" s="45" t="n"/>
      <c r="F49" s="45" t="n"/>
      <c r="G49" s="39" t="inlineStr">
        <is>
          <t>Non-GAAP adjusted</t>
        </is>
      </c>
    </row>
    <row r="50">
      <c r="A50" s="43" t="inlineStr">
        <is>
          <t xml:space="preserve">  2029E UFCF ($M)</t>
        </is>
      </c>
      <c r="B50" s="46">
        <f>F16</f>
        <v/>
      </c>
      <c r="C50" s="45" t="n"/>
      <c r="D50" s="45" t="n"/>
      <c r="E50" s="45" t="n"/>
      <c r="F50" s="45" t="n"/>
      <c r="G50" s="39" t="inlineStr">
        <is>
          <t>Unlevered free cash flow</t>
        </is>
      </c>
    </row>
    <row r="51">
      <c r="A51" s="43" t="inlineStr">
        <is>
          <t xml:space="preserve">  Net Debt (2025A, $M)</t>
        </is>
      </c>
      <c r="B51" s="46">
        <f>'Balance Sheet'!F60</f>
        <v/>
      </c>
      <c r="C51" s="45" t="n"/>
      <c r="D51" s="45" t="n"/>
      <c r="E51" s="45" t="n"/>
      <c r="F51" s="45" t="n"/>
      <c r="G51" s="39" t="inlineStr">
        <is>
          <t>Pre-Calpine close</t>
        </is>
      </c>
    </row>
    <row r="52">
      <c r="A52" s="43" t="inlineStr">
        <is>
          <t xml:space="preserve">  Diluted Shares Outstanding (M)</t>
        </is>
      </c>
      <c r="B52" s="47">
        <f>'Income Statement'!F42</f>
        <v/>
      </c>
      <c r="C52" s="45" t="n"/>
      <c r="D52" s="45" t="n"/>
      <c r="E52" s="45" t="n"/>
      <c r="F52" s="45" t="n"/>
      <c r="G52" s="39" t="inlineStr">
        <is>
          <t>Base case 2026E</t>
        </is>
      </c>
    </row>
  </sheetData>
  <mergeCells count="6">
    <mergeCell ref="A44:G44"/>
    <mergeCell ref="A1:G1"/>
    <mergeCell ref="A6:G6"/>
    <mergeCell ref="A34:G34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2026-06-17T07:03:19Z</dcterms:created>
  <dcterms:modified xmlns:dcterms="http://purl.org/dc/terms/" xmlns:xsi="http://www.w3.org/2001/XMLSchema-instance" xsi:type="dcterms:W3CDTF">2026-06-17T07:03:19Z</dcterms:modified>
</cp:coreProperties>
</file>