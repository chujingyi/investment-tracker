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收入模型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现金流量表" sheetId="4" state="visible" r:id="rId4"/>
    <sheet xmlns:r="http://schemas.openxmlformats.org/officeDocument/2006/relationships" name="资产负债表" sheetId="5" state="visible" r:id="rId5"/>
    <sheet xmlns:r="http://schemas.openxmlformats.org/officeDocument/2006/relationships" name="情景分析" sheetId="6" state="visible" r:id="rId6"/>
    <sheet xmlns:r="http://schemas.openxmlformats.org/officeDocument/2006/relationships" name="DCF估值假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22"/>
    </font>
    <font>
      <name val="Calibri"/>
      <color rgb="002E75B6"/>
      <sz val="16"/>
    </font>
    <font>
      <name val="Calibri"/>
      <color rgb="00595959"/>
      <sz val="11"/>
    </font>
    <font>
      <name val="Calibri"/>
      <b val="1"/>
      <sz val="10"/>
    </font>
    <font>
      <name val="Calibri"/>
      <sz val="10"/>
    </font>
    <font>
      <name val="Calibri"/>
      <i val="1"/>
      <color rgb="007F7F7F"/>
      <sz val="8"/>
    </font>
    <font>
      <name val="Calibri"/>
      <b val="1"/>
      <color rgb="001F4E79"/>
      <sz val="13"/>
    </font>
    <font>
      <name val="Calibri"/>
      <i val="1"/>
      <color rgb="007F7F7F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0070C0"/>
      <sz val="10"/>
    </font>
    <font>
      <name val="Calibri"/>
      <color rgb="00375623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6DCE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  <border>
      <bottom style="medium">
        <color rgb="002E75B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2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indent="1"/>
    </xf>
    <xf numFmtId="0" fontId="6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2"/>
    </xf>
    <xf numFmtId="164" fontId="11" fillId="6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3" fontId="12" fillId="7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indent="2"/>
    </xf>
    <xf numFmtId="0" fontId="1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5" borderId="0" applyAlignment="1" pivotButton="0" quotePrefix="0" xfId="0">
      <alignment horizontal="left" indent="1"/>
    </xf>
    <xf numFmtId="0" fontId="5" fillId="0" borderId="1" applyAlignment="1" pivotButton="0" quotePrefix="0" xfId="0">
      <alignment horizontal="left" indent="2"/>
    </xf>
    <xf numFmtId="0" fontId="5" fillId="7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0" borderId="1" applyAlignment="1" pivotButton="0" quotePrefix="0" xfId="0">
      <alignment indent="2"/>
    </xf>
    <xf numFmtId="10" fontId="11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4" fontId="11" fillId="6" borderId="1" applyAlignment="1" pivotButton="0" quotePrefix="0" xfId="0">
      <alignment horizontal="center"/>
    </xf>
    <xf numFmtId="0" fontId="5" fillId="0" borderId="1" pivotButton="0" quotePrefix="0" xfId="0"/>
    <xf numFmtId="3" fontId="11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11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</cols>
  <sheetData>
    <row r="2" ht="45" customHeight="1">
      <c r="B2" s="1" t="inlineStr">
        <is>
          <t>星座能源公司（NASDAQ: CEG）</t>
        </is>
      </c>
    </row>
    <row r="3" ht="30" customHeight="1">
      <c r="B3" s="2" t="inlineStr">
        <is>
          <t>股票研究报告 — 深度覆盖初报</t>
        </is>
      </c>
    </row>
    <row r="4" ht="22" customHeight="1">
      <c r="B4" s="3" t="inlineStr">
        <is>
          <t>财务模型 — 收入、利润表、现金流量表、资产负债表、情景分析、DCF估值</t>
        </is>
      </c>
    </row>
    <row r="5" ht="4" customHeight="1">
      <c r="B5" s="4" t="n"/>
    </row>
    <row r="7" ht="18" customHeight="1">
      <c r="B7" s="5" t="inlineStr">
        <is>
          <t>发布日期</t>
        </is>
      </c>
      <c r="C7" s="6" t="inlineStr">
        <is>
          <t>2026年6月17日</t>
        </is>
      </c>
    </row>
    <row r="8" ht="18" customHeight="1">
      <c r="B8" s="5" t="inlineStr">
        <is>
          <t>股票代码</t>
        </is>
      </c>
      <c r="C8" s="6" t="inlineStr">
        <is>
          <t>CEG（纳斯达克）</t>
        </is>
      </c>
    </row>
    <row r="9" ht="18" customHeight="1">
      <c r="B9" s="5" t="inlineStr">
        <is>
          <t>行业</t>
        </is>
      </c>
      <c r="C9" s="6" t="inlineStr">
        <is>
          <t>公用事业 / 独立发电商（IPP）</t>
        </is>
      </c>
    </row>
    <row r="10" ht="18" customHeight="1">
      <c r="B10" s="5" t="inlineStr">
        <is>
          <t>总部</t>
        </is>
      </c>
      <c r="C10" s="6" t="inlineStr">
        <is>
          <t>美国马里兰州巴尔的摩市</t>
        </is>
      </c>
    </row>
    <row r="11" ht="8" customHeight="1"/>
    <row r="12" ht="18" customHeight="1">
      <c r="B12" s="5" t="inlineStr">
        <is>
          <t>当前总市值（参考价$220）</t>
        </is>
      </c>
      <c r="C12" s="6" t="inlineStr">
        <is>
          <t>~$695亿</t>
        </is>
      </c>
    </row>
    <row r="13" ht="18" customHeight="1">
      <c r="B13" s="5" t="inlineStr">
        <is>
          <t>2025A总收入</t>
        </is>
      </c>
      <c r="C13" s="6" t="inlineStr">
        <is>
          <t>$253亿</t>
        </is>
      </c>
    </row>
    <row r="14" ht="18" customHeight="1">
      <c r="B14" s="5" t="inlineStr">
        <is>
          <t>2026E调整后EPS</t>
        </is>
      </c>
      <c r="C14" s="6" t="inlineStr">
        <is>
          <t>$11.74（管理层指引$11.00–$12.00）</t>
        </is>
      </c>
    </row>
    <row r="15" ht="18" customHeight="1">
      <c r="B15" s="5" t="inlineStr">
        <is>
          <t>核能装机容量</t>
        </is>
      </c>
      <c r="C15" s="6" t="inlineStr">
        <is>
          <t>22.6 GW（美国最大，远超同业）</t>
        </is>
      </c>
    </row>
    <row r="16" ht="18" customHeight="1">
      <c r="B16" s="5" t="inlineStr">
        <is>
          <t>总装机容量（含卡尔派恩）</t>
        </is>
      </c>
      <c r="C16" s="6" t="inlineStr">
        <is>
          <t>~55 GW</t>
        </is>
      </c>
    </row>
    <row r="17" ht="8" customHeight="1"/>
    <row r="18" ht="18" customHeight="1">
      <c r="B18" s="5" t="inlineStr">
        <is>
          <t>目标股价（基准情景）</t>
        </is>
      </c>
      <c r="C18" s="6" t="inlineStr">
        <is>
          <t>$255（较$220 +16%）</t>
        </is>
      </c>
    </row>
    <row r="19" ht="18" customHeight="1">
      <c r="B19" s="5" t="inlineStr">
        <is>
          <t>目标股价（乐观情景）</t>
        </is>
      </c>
      <c r="C19" s="6" t="inlineStr">
        <is>
          <t>$340（较$220 +55%）</t>
        </is>
      </c>
    </row>
    <row r="20" ht="18" customHeight="1">
      <c r="B20" s="5" t="inlineStr">
        <is>
          <t>估值方法</t>
        </is>
      </c>
      <c r="C20" s="6" t="inlineStr">
        <is>
          <t>DCF（WACC 7.975%，g=3.0%）+ EV/EBITDA（15.0x）</t>
        </is>
      </c>
    </row>
    <row r="21" ht="8" customHeight="1"/>
    <row r="22" ht="18" customHeight="1">
      <c r="B22" s="5" t="inlineStr">
        <is>
          <t>核心投资主题</t>
        </is>
      </c>
      <c r="C22" s="6" t="inlineStr"/>
    </row>
    <row r="23" ht="18" customHeight="1">
      <c r="B23" s="7" t="inlineStr">
        <is>
          <t xml:space="preserve">  1. 美国最大核电运营商，护城河难以复制</t>
        </is>
      </c>
      <c r="C23" s="6" t="inlineStr"/>
    </row>
    <row r="24" ht="18" customHeight="1">
      <c r="B24" s="7" t="inlineStr">
        <is>
          <t xml:space="preserve">  2. AI数据中心爆发式电力需求首选清洁能源合作伙伴</t>
        </is>
      </c>
      <c r="C24" s="6" t="inlineStr"/>
    </row>
    <row r="25" ht="18" customHeight="1">
      <c r="B25" s="7" t="inlineStr">
        <is>
          <t xml:space="preserve">  3. 微软（835 MW）、Meta（1,121 MW）20年长期PPA锁定</t>
        </is>
      </c>
      <c r="C25" s="6" t="inlineStr"/>
    </row>
    <row r="26" ht="18" customHeight="1">
      <c r="B26" s="7" t="inlineStr">
        <is>
          <t xml:space="preserve">  4. IRA第45U条核能PTC（最高$15/MWh）保障盈利底部</t>
        </is>
      </c>
      <c r="C26" s="6" t="inlineStr"/>
    </row>
    <row r="27" ht="18" customHeight="1">
      <c r="B27" s="7" t="inlineStr">
        <is>
          <t xml:space="preserve">  5. 卡尔派恩收购后成全球最大私营发电商，规模协同显著</t>
        </is>
      </c>
      <c r="C27" s="6" t="inlineStr"/>
    </row>
    <row r="28" ht="8" customHeight="1"/>
    <row r="29" ht="18" customHeight="1">
      <c r="B29" s="5" t="inlineStr">
        <is>
          <t>主要风险</t>
        </is>
      </c>
      <c r="C29" s="6" t="inlineStr"/>
    </row>
    <row r="30" ht="18" customHeight="1">
      <c r="B30" s="7" t="inlineStr">
        <is>
          <t xml:space="preserve">  1. 卡尔派恩整合执行风险（杠杆率偏高）</t>
        </is>
      </c>
      <c r="C30" s="6" t="inlineStr"/>
    </row>
    <row r="31" ht="18" customHeight="1">
      <c r="B31" s="7" t="inlineStr">
        <is>
          <t xml:space="preserve">  2. 第45U条核能PTC政策变动风险</t>
        </is>
      </c>
      <c r="C31" s="6" t="inlineStr"/>
    </row>
    <row r="32" ht="18" customHeight="1">
      <c r="B32" s="7" t="inlineStr">
        <is>
          <t xml:space="preserve">  3. FERC市场规则变化（PJM容量市场）</t>
        </is>
      </c>
      <c r="C32" s="6" t="inlineStr"/>
    </row>
    <row r="33" ht="18" customHeight="1">
      <c r="B33" s="7" t="inlineStr">
        <is>
          <t xml:space="preserve">  4. 克兰清洁能源中心（三里岛）重启延迟风险</t>
        </is>
      </c>
      <c r="C33" s="6" t="inlineStr"/>
    </row>
    <row r="37" ht="30" customHeight="1">
      <c r="B37" s="8" t="inlineStr">
        <is>
          <t>免责声明：本模型基于公开信息构建，仅供研究参考，不构成投资建议。投资有风险，请独立判断。</t>
        </is>
      </c>
    </row>
  </sheetData>
  <mergeCells count="5">
    <mergeCell ref="B2:C2"/>
    <mergeCell ref="B3:C3"/>
    <mergeCell ref="B5:C5"/>
    <mergeCell ref="B37:C3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9" t="inlineStr">
        <is>
          <t>星座能源公司（CEG）—— 收入模型（百万美元）</t>
        </is>
      </c>
    </row>
    <row r="2" ht="16" customHeight="1">
      <c r="A2" s="10" t="inlineStr">
        <is>
          <t>说明：蓝色 = 手工输入；黑色 = 公式；绿色 = 跨表链接</t>
        </is>
      </c>
    </row>
    <row r="3">
      <c r="A3" s="11" t="inlineStr">
        <is>
          <t>指标</t>
        </is>
      </c>
      <c r="B3" s="12" t="inlineStr">
        <is>
          <t>2022A</t>
        </is>
      </c>
      <c r="C3" s="12" t="inlineStr">
        <is>
          <t>2023A</t>
        </is>
      </c>
      <c r="D3" s="12" t="inlineStr">
        <is>
          <t>2024A</t>
        </is>
      </c>
      <c r="E3" s="12" t="inlineStr">
        <is>
          <t>2025A</t>
        </is>
      </c>
      <c r="F3" s="13" t="inlineStr">
        <is>
          <t>2026E</t>
        </is>
      </c>
      <c r="G3" s="13" t="inlineStr">
        <is>
          <t>2027E</t>
        </is>
      </c>
      <c r="H3" s="13" t="inlineStr">
        <is>
          <t>2028E</t>
        </is>
      </c>
      <c r="I3" s="13" t="inlineStr">
        <is>
          <t>2029E</t>
        </is>
      </c>
    </row>
    <row r="4">
      <c r="A4" s="14" t="inlineStr">
        <is>
          <t>▌ 发电量（太瓦时，TWh）</t>
        </is>
      </c>
    </row>
    <row r="5">
      <c r="A5" s="15" t="inlineStr">
        <is>
          <t xml:space="preserve">  核能发电量（TWh）</t>
        </is>
      </c>
      <c r="B5" s="16" t="n">
        <v>170.5</v>
      </c>
      <c r="C5" s="16" t="n">
        <v>172.3</v>
      </c>
      <c r="D5" s="16" t="n">
        <v>175.1</v>
      </c>
      <c r="E5" s="16" t="n">
        <v>176.8</v>
      </c>
      <c r="F5" s="16" t="n">
        <v>178</v>
      </c>
      <c r="G5" s="16" t="n">
        <v>186</v>
      </c>
      <c r="H5" s="16" t="n">
        <v>190</v>
      </c>
      <c r="I5" s="16" t="n">
        <v>192</v>
      </c>
    </row>
    <row r="6">
      <c r="A6" s="15" t="inlineStr">
        <is>
          <t xml:space="preserve">  天然气发电量（TWh）</t>
        </is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142</v>
      </c>
      <c r="G6" s="16" t="n">
        <v>148</v>
      </c>
      <c r="H6" s="16" t="n">
        <v>152</v>
      </c>
      <c r="I6" s="16" t="n">
        <v>155</v>
      </c>
    </row>
    <row r="7">
      <c r="A7" s="15" t="inlineStr">
        <is>
          <t xml:space="preserve">  可再生能源发电量（TWh）</t>
        </is>
      </c>
      <c r="B7" s="16" t="n">
        <v>14.2</v>
      </c>
      <c r="C7" s="16" t="n">
        <v>15</v>
      </c>
      <c r="D7" s="16" t="n">
        <v>15.8</v>
      </c>
      <c r="E7" s="16" t="n">
        <v>16.3</v>
      </c>
      <c r="F7" s="16" t="n">
        <v>22.5</v>
      </c>
      <c r="G7" s="16" t="n">
        <v>23.5</v>
      </c>
      <c r="H7" s="16" t="n">
        <v>24</v>
      </c>
      <c r="I7" s="16" t="n">
        <v>24.5</v>
      </c>
    </row>
    <row r="8">
      <c r="A8" s="15" t="inlineStr">
        <is>
          <t xml:space="preserve">  合计发电量（TWh）</t>
        </is>
      </c>
      <c r="B8" s="17">
        <f>B5+B6+B7</f>
        <v/>
      </c>
      <c r="C8" s="17">
        <f>C5+C6+C7</f>
        <v/>
      </c>
      <c r="D8" s="17">
        <f>D5+D6+D7</f>
        <v/>
      </c>
      <c r="E8" s="17">
        <f>E5+E6+E7</f>
        <v/>
      </c>
      <c r="F8" s="17">
        <f>F5+F6+F7</f>
        <v/>
      </c>
      <c r="G8" s="17">
        <f>G5+G6+G7</f>
        <v/>
      </c>
      <c r="H8" s="17">
        <f>H5+H6+H7</f>
        <v/>
      </c>
      <c r="I8" s="17">
        <f>I5+I6+I7</f>
        <v/>
      </c>
    </row>
    <row r="9" ht="6" customHeight="1"/>
    <row r="10">
      <c r="A10" s="14" t="inlineStr">
        <is>
          <t>▌ 实现价格（美元/兆瓦时，$/MWh）</t>
        </is>
      </c>
    </row>
    <row r="11">
      <c r="A11" s="15" t="inlineStr">
        <is>
          <t xml:space="preserve">  核能实现价格（$/MWh）</t>
        </is>
      </c>
      <c r="B11" s="18" t="n">
        <v>42.5</v>
      </c>
      <c r="C11" s="18" t="n">
        <v>44.8</v>
      </c>
      <c r="D11" s="18" t="n">
        <v>47.2</v>
      </c>
      <c r="E11" s="18" t="n">
        <v>52.6</v>
      </c>
      <c r="F11" s="18" t="n">
        <v>56</v>
      </c>
      <c r="G11" s="18" t="n">
        <v>58</v>
      </c>
      <c r="H11" s="18" t="n">
        <v>60</v>
      </c>
      <c r="I11" s="18" t="n">
        <v>62</v>
      </c>
    </row>
    <row r="12">
      <c r="A12" s="15" t="inlineStr">
        <is>
          <t xml:space="preserve">  天然气实现价格（$/MWh）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48</v>
      </c>
      <c r="G12" s="18" t="n">
        <v>50</v>
      </c>
      <c r="H12" s="18" t="n">
        <v>52</v>
      </c>
      <c r="I12" s="18" t="n">
        <v>53</v>
      </c>
    </row>
    <row r="13">
      <c r="A13" s="15" t="inlineStr">
        <is>
          <t xml:space="preserve">  可再生能源实现价格（$/MWh）</t>
        </is>
      </c>
      <c r="B13" s="18" t="n">
        <v>38</v>
      </c>
      <c r="C13" s="18" t="n">
        <v>39.5</v>
      </c>
      <c r="D13" s="18" t="n">
        <v>41</v>
      </c>
      <c r="E13" s="18" t="n">
        <v>43.5</v>
      </c>
      <c r="F13" s="18" t="n">
        <v>45</v>
      </c>
      <c r="G13" s="18" t="n">
        <v>46</v>
      </c>
      <c r="H13" s="18" t="n">
        <v>47</v>
      </c>
      <c r="I13" s="18" t="n">
        <v>48</v>
      </c>
    </row>
    <row r="14" ht="6" customHeight="1"/>
    <row r="15">
      <c r="A15" s="14" t="inlineStr">
        <is>
          <t>▌ 收入分部（百万美元）</t>
        </is>
      </c>
    </row>
    <row r="16">
      <c r="A16" s="15" t="inlineStr">
        <is>
          <t xml:space="preserve">  核能发电收入</t>
        </is>
      </c>
      <c r="B16" s="19">
        <f>B5*B11/1000</f>
        <v/>
      </c>
      <c r="C16" s="19">
        <f>C5*C11/1000</f>
        <v/>
      </c>
      <c r="D16" s="19">
        <f>D5*D11/1000</f>
        <v/>
      </c>
      <c r="E16" s="19">
        <f>E5*E11/1000</f>
        <v/>
      </c>
      <c r="F16" s="19">
        <f>F5*F11/1000</f>
        <v/>
      </c>
      <c r="G16" s="19">
        <f>G5*G11/1000</f>
        <v/>
      </c>
      <c r="H16" s="19">
        <f>H5*H11/1000</f>
        <v/>
      </c>
      <c r="I16" s="19">
        <f>I5*I11/1000</f>
        <v/>
      </c>
    </row>
    <row r="17">
      <c r="A17" s="15" t="inlineStr">
        <is>
          <t xml:space="preserve">  天然气发电收入</t>
        </is>
      </c>
      <c r="B17" s="19">
        <f>B6*B12/1000</f>
        <v/>
      </c>
      <c r="C17" s="19">
        <f>C6*C12/1000</f>
        <v/>
      </c>
      <c r="D17" s="19">
        <f>D6*D12/1000</f>
        <v/>
      </c>
      <c r="E17" s="19">
        <f>E6*E12/1000</f>
        <v/>
      </c>
      <c r="F17" s="19">
        <f>F6*F12/1000</f>
        <v/>
      </c>
      <c r="G17" s="19">
        <f>G6*G12/1000</f>
        <v/>
      </c>
      <c r="H17" s="19">
        <f>H6*H12/1000</f>
        <v/>
      </c>
      <c r="I17" s="19">
        <f>I6*I12/1000</f>
        <v/>
      </c>
    </row>
    <row r="18">
      <c r="A18" s="15" t="inlineStr">
        <is>
          <t xml:space="preserve">  可再生能源收入</t>
        </is>
      </c>
      <c r="B18" s="19">
        <f>B7*B13/1000</f>
        <v/>
      </c>
      <c r="C18" s="19">
        <f>C7*C13/1000</f>
        <v/>
      </c>
      <c r="D18" s="19">
        <f>D7*D13/1000</f>
        <v/>
      </c>
      <c r="E18" s="19">
        <f>E7*E13/1000</f>
        <v/>
      </c>
      <c r="F18" s="19">
        <f>F7*F13/1000</f>
        <v/>
      </c>
      <c r="G18" s="19">
        <f>G7*G13/1000</f>
        <v/>
      </c>
      <c r="H18" s="19">
        <f>H7*H13/1000</f>
        <v/>
      </c>
      <c r="I18" s="19">
        <f>I7*I13/1000</f>
        <v/>
      </c>
    </row>
    <row r="19">
      <c r="A19" s="15" t="inlineStr">
        <is>
          <t xml:space="preserve">  零售电力供应收入</t>
        </is>
      </c>
      <c r="B19" s="20" t="n">
        <v>5820</v>
      </c>
      <c r="C19" s="20" t="n">
        <v>6210</v>
      </c>
      <c r="D19" s="20" t="n">
        <v>6850</v>
      </c>
      <c r="E19" s="20" t="n">
        <v>7320</v>
      </c>
      <c r="F19" s="20" t="n">
        <v>10500</v>
      </c>
      <c r="G19" s="20" t="n">
        <v>11000</v>
      </c>
      <c r="H19" s="20" t="n">
        <v>11500</v>
      </c>
      <c r="I19" s="20" t="n">
        <v>12000</v>
      </c>
    </row>
    <row r="20">
      <c r="A20" s="15" t="inlineStr">
        <is>
          <t xml:space="preserve">  其他收入</t>
        </is>
      </c>
      <c r="B20" s="20" t="n">
        <v>320</v>
      </c>
      <c r="C20" s="20" t="n">
        <v>355</v>
      </c>
      <c r="D20" s="20" t="n">
        <v>390</v>
      </c>
      <c r="E20" s="20" t="n">
        <v>430</v>
      </c>
      <c r="F20" s="20" t="n">
        <v>680</v>
      </c>
      <c r="G20" s="20" t="n">
        <v>700</v>
      </c>
      <c r="H20" s="20" t="n">
        <v>720</v>
      </c>
      <c r="I20" s="20" t="n">
        <v>750</v>
      </c>
    </row>
    <row r="21">
      <c r="A21" s="21" t="inlineStr">
        <is>
          <t>合计收入</t>
        </is>
      </c>
      <c r="B21" s="19">
        <f>B16+B17+B18+B19+B20</f>
        <v/>
      </c>
      <c r="C21" s="19">
        <f>C16+C17+C18+C19+C20</f>
        <v/>
      </c>
      <c r="D21" s="19">
        <f>D16+D17+D18+D19+D20</f>
        <v/>
      </c>
      <c r="E21" s="19">
        <f>E16+E17+E18+E19+E20</f>
        <v/>
      </c>
      <c r="F21" s="19">
        <f>F16+F17+F18+F19+F20</f>
        <v/>
      </c>
      <c r="G21" s="19">
        <f>G16+G17+G18+G19+G20</f>
        <v/>
      </c>
      <c r="H21" s="19">
        <f>H16+H17+H18+H19+H20</f>
        <v/>
      </c>
      <c r="I21" s="19">
        <f>I16+I17+I18+I19+I20</f>
        <v/>
      </c>
    </row>
    <row r="22" ht="6" customHeight="1"/>
    <row r="23">
      <c r="A23" s="14" t="inlineStr">
        <is>
          <t>▌ 同比增长率</t>
        </is>
      </c>
    </row>
    <row r="24">
      <c r="A24" s="15" t="inlineStr">
        <is>
          <t xml:space="preserve">  收入增速（同比）</t>
        </is>
      </c>
      <c r="B24" s="22" t="inlineStr">
        <is>
          <t>—</t>
        </is>
      </c>
      <c r="C24" s="23">
        <f>C21/B21-1</f>
        <v/>
      </c>
      <c r="D24" s="23">
        <f>D21/C21-1</f>
        <v/>
      </c>
      <c r="E24" s="23">
        <f>E21/D21-1</f>
        <v/>
      </c>
      <c r="F24" s="23">
        <f>F21/E21-1</f>
        <v/>
      </c>
      <c r="G24" s="23">
        <f>G21/F21-1</f>
        <v/>
      </c>
      <c r="H24" s="23">
        <f>H21/G21-1</f>
        <v/>
      </c>
      <c r="I24" s="23">
        <f>I21/H21-1</f>
        <v/>
      </c>
    </row>
  </sheetData>
  <mergeCells count="6">
    <mergeCell ref="A15:I15"/>
    <mergeCell ref="A2:I2"/>
    <mergeCell ref="A10:I10"/>
    <mergeCell ref="A1:I1"/>
    <mergeCell ref="A23:I23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9" t="inlineStr">
        <is>
          <t>星座能源公司（CEG）—— 综合损益表（百万美元）</t>
        </is>
      </c>
    </row>
    <row r="2">
      <c r="A2" s="10" t="inlineStr">
        <is>
          <t>说明：蓝色 = 手工输入；黑色 = 公式；绿色 = 跨表链接</t>
        </is>
      </c>
    </row>
    <row r="3">
      <c r="A3" s="11" t="inlineStr">
        <is>
          <t>指标</t>
        </is>
      </c>
      <c r="B3" s="11" t="inlineStr">
        <is>
          <t>2022A</t>
        </is>
      </c>
      <c r="C3" s="11" t="inlineStr">
        <is>
          <t>2023A</t>
        </is>
      </c>
      <c r="D3" s="11" t="inlineStr">
        <is>
          <t>2024A</t>
        </is>
      </c>
      <c r="E3" s="11" t="inlineStr">
        <is>
          <t>2025A</t>
        </is>
      </c>
      <c r="F3" s="11" t="inlineStr">
        <is>
          <t>2026E</t>
        </is>
      </c>
      <c r="G3" s="11" t="inlineStr">
        <is>
          <t>2027E</t>
        </is>
      </c>
      <c r="H3" s="11" t="inlineStr">
        <is>
          <t>2028E</t>
        </is>
      </c>
      <c r="I3" s="11" t="inlineStr">
        <is>
          <t>2029E</t>
        </is>
      </c>
    </row>
    <row r="4">
      <c r="A4" s="14" t="inlineStr">
        <is>
          <t>▌ 收入</t>
        </is>
      </c>
    </row>
    <row r="5">
      <c r="A5" s="21" t="inlineStr">
        <is>
          <t>总收入</t>
        </is>
      </c>
      <c r="B5" s="24">
        <f>'收入模型'!B21</f>
        <v/>
      </c>
      <c r="C5" s="24">
        <f>'收入模型'!C21</f>
        <v/>
      </c>
      <c r="D5" s="24">
        <f>'收入模型'!D21</f>
        <v/>
      </c>
      <c r="E5" s="24">
        <f>'收入模型'!E21</f>
        <v/>
      </c>
      <c r="F5" s="24">
        <f>'收入模型'!F21</f>
        <v/>
      </c>
      <c r="G5" s="24">
        <f>'收入模型'!G21</f>
        <v/>
      </c>
      <c r="H5" s="24">
        <f>'收入模型'!H21</f>
        <v/>
      </c>
      <c r="I5" s="24">
        <f>'收入模型'!I21</f>
        <v/>
      </c>
    </row>
    <row r="6" ht="6" customHeight="1"/>
    <row r="7">
      <c r="A7" s="14" t="inlineStr">
        <is>
          <t>▌ 运营成本</t>
        </is>
      </c>
    </row>
    <row r="8">
      <c r="A8" s="15" t="inlineStr">
        <is>
          <t xml:space="preserve">  核燃料成本</t>
        </is>
      </c>
      <c r="B8" s="19">
        <f>B5*0.062</f>
        <v/>
      </c>
      <c r="C8" s="19">
        <f>C5*0.06</f>
        <v/>
      </c>
      <c r="D8" s="19">
        <f>D5*0.058</f>
        <v/>
      </c>
      <c r="E8" s="19">
        <f>E5*0.055</f>
        <v/>
      </c>
      <c r="F8" s="19">
        <f>F5*0.053</f>
        <v/>
      </c>
      <c r="G8" s="19">
        <f>G5*0.052</f>
        <v/>
      </c>
      <c r="H8" s="19">
        <f>H5*0.051</f>
        <v/>
      </c>
      <c r="I8" s="19">
        <f>I5*0.05</f>
        <v/>
      </c>
    </row>
    <row r="9">
      <c r="A9" s="15" t="inlineStr">
        <is>
          <t xml:space="preserve">  运营与维护费用（O&amp;M）</t>
        </is>
      </c>
      <c r="B9" s="20" t="n">
        <v>3500</v>
      </c>
      <c r="C9" s="20" t="n">
        <v>3620</v>
      </c>
      <c r="D9" s="20" t="n">
        <v>3750</v>
      </c>
      <c r="E9" s="20" t="n">
        <v>3900</v>
      </c>
      <c r="F9" s="20" t="n">
        <v>5800</v>
      </c>
      <c r="G9" s="20" t="n">
        <v>6000</v>
      </c>
      <c r="H9" s="20" t="n">
        <v>6200</v>
      </c>
      <c r="I9" s="20" t="n">
        <v>6400</v>
      </c>
    </row>
    <row r="10">
      <c r="A10" s="15" t="inlineStr">
        <is>
          <t xml:space="preserve">  折旧与摊销（D&amp;A）</t>
        </is>
      </c>
      <c r="B10" s="20" t="n">
        <v>870</v>
      </c>
      <c r="C10" s="20" t="n">
        <v>920</v>
      </c>
      <c r="D10" s="20" t="n">
        <v>980</v>
      </c>
      <c r="E10" s="20" t="n">
        <v>1050</v>
      </c>
      <c r="F10" s="20" t="n">
        <v>1680</v>
      </c>
      <c r="G10" s="20" t="n">
        <v>1750</v>
      </c>
      <c r="H10" s="20" t="n">
        <v>1800</v>
      </c>
      <c r="I10" s="20" t="n">
        <v>1850</v>
      </c>
    </row>
    <row r="11">
      <c r="A11" s="15" t="inlineStr">
        <is>
          <t xml:space="preserve">  销售、一般及行政费用（SG&amp;A）</t>
        </is>
      </c>
      <c r="B11" s="19">
        <f>B5*0.048</f>
        <v/>
      </c>
      <c r="C11" s="19">
        <f>C5*0.046</f>
        <v/>
      </c>
      <c r="D11" s="19">
        <f>D5*0.044</f>
        <v/>
      </c>
      <c r="E11" s="19">
        <f>E5*0.043</f>
        <v/>
      </c>
      <c r="F11" s="19">
        <f>F5*0.042</f>
        <v/>
      </c>
      <c r="G11" s="19">
        <f>G5*0.041</f>
        <v/>
      </c>
      <c r="H11" s="19">
        <f>H5*0.04</f>
        <v/>
      </c>
      <c r="I11" s="19">
        <f>I5*0.039</f>
        <v/>
      </c>
    </row>
    <row r="12">
      <c r="A12" s="15" t="inlineStr">
        <is>
          <t xml:space="preserve">  其他运营费用</t>
        </is>
      </c>
      <c r="B12" s="20" t="n">
        <v>420</v>
      </c>
      <c r="C12" s="20" t="n">
        <v>395</v>
      </c>
      <c r="D12" s="20" t="n">
        <v>380</v>
      </c>
      <c r="E12" s="20" t="n">
        <v>370</v>
      </c>
      <c r="F12" s="20" t="n">
        <v>620</v>
      </c>
      <c r="G12" s="20" t="n">
        <v>600</v>
      </c>
      <c r="H12" s="20" t="n">
        <v>580</v>
      </c>
      <c r="I12" s="20" t="n">
        <v>560</v>
      </c>
    </row>
    <row r="13">
      <c r="A13" s="21" t="inlineStr">
        <is>
          <t>合计运营成本</t>
        </is>
      </c>
      <c r="B13" s="19">
        <f>B8+B9+B10+B11+B12</f>
        <v/>
      </c>
      <c r="C13" s="19">
        <f>C8+C9+C10+C11+C12</f>
        <v/>
      </c>
      <c r="D13" s="19">
        <f>D8+D9+D10+D11+D12</f>
        <v/>
      </c>
      <c r="E13" s="19">
        <f>E8+E9+E10+E11+E12</f>
        <v/>
      </c>
      <c r="F13" s="19">
        <f>F8+F9+F10+F11+F12</f>
        <v/>
      </c>
      <c r="G13" s="19">
        <f>G8+G9+G10+G11+G12</f>
        <v/>
      </c>
      <c r="H13" s="19">
        <f>H8+H9+H10+H11+H12</f>
        <v/>
      </c>
      <c r="I13" s="19">
        <f>I8+I9+I10+I11+I12</f>
        <v/>
      </c>
    </row>
    <row r="14" ht="6" customHeight="1"/>
    <row r="15">
      <c r="A15" s="14" t="inlineStr">
        <is>
          <t>▌ 运营利润（EBIT）</t>
        </is>
      </c>
    </row>
    <row r="16">
      <c r="A16" s="21" t="inlineStr">
        <is>
          <t>运营利润（EBIT）</t>
        </is>
      </c>
      <c r="B16" s="19">
        <f>B5-B13</f>
        <v/>
      </c>
      <c r="C16" s="19">
        <f>C5-C13</f>
        <v/>
      </c>
      <c r="D16" s="19">
        <f>D5-D13</f>
        <v/>
      </c>
      <c r="E16" s="19">
        <f>E5-E13</f>
        <v/>
      </c>
      <c r="F16" s="19">
        <f>F5-F13</f>
        <v/>
      </c>
      <c r="G16" s="19">
        <f>G5-G13</f>
        <v/>
      </c>
      <c r="H16" s="19">
        <f>H5-H13</f>
        <v/>
      </c>
      <c r="I16" s="19">
        <f>I5-I13</f>
        <v/>
      </c>
    </row>
    <row r="17">
      <c r="A17" s="15" t="inlineStr">
        <is>
          <t xml:space="preserve">  EBIT利润率</t>
        </is>
      </c>
      <c r="B17" s="23">
        <f>B16/B5</f>
        <v/>
      </c>
      <c r="C17" s="23">
        <f>C16/C5</f>
        <v/>
      </c>
      <c r="D17" s="23">
        <f>D16/D5</f>
        <v/>
      </c>
      <c r="E17" s="23">
        <f>E16/E5</f>
        <v/>
      </c>
      <c r="F17" s="23">
        <f>F16/F5</f>
        <v/>
      </c>
      <c r="G17" s="23">
        <f>G16/G5</f>
        <v/>
      </c>
      <c r="H17" s="23">
        <f>H16/H5</f>
        <v/>
      </c>
      <c r="I17" s="23">
        <f>I16/I5</f>
        <v/>
      </c>
    </row>
    <row r="18" ht="6" customHeight="1"/>
    <row r="19">
      <c r="A19" s="14" t="inlineStr">
        <is>
          <t>▌ EBITDA</t>
        </is>
      </c>
    </row>
    <row r="20">
      <c r="A20" s="21" t="inlineStr">
        <is>
          <t>EBITDA</t>
        </is>
      </c>
      <c r="B20" s="19">
        <f>B16+B10</f>
        <v/>
      </c>
      <c r="C20" s="19">
        <f>C16+C10</f>
        <v/>
      </c>
      <c r="D20" s="19">
        <f>D16+D10</f>
        <v/>
      </c>
      <c r="E20" s="19">
        <f>E16+E10</f>
        <v/>
      </c>
      <c r="F20" s="19">
        <f>F16+F10</f>
        <v/>
      </c>
      <c r="G20" s="19">
        <f>G16+G10</f>
        <v/>
      </c>
      <c r="H20" s="19">
        <f>H16+H10</f>
        <v/>
      </c>
      <c r="I20" s="19">
        <f>I16+I10</f>
        <v/>
      </c>
    </row>
    <row r="21">
      <c r="A21" s="15" t="inlineStr">
        <is>
          <t xml:space="preserve">  EBITDA利润率</t>
        </is>
      </c>
      <c r="B21" s="23">
        <f>B20/B5</f>
        <v/>
      </c>
      <c r="C21" s="23">
        <f>C20/C5</f>
        <v/>
      </c>
      <c r="D21" s="23">
        <f>D20/D5</f>
        <v/>
      </c>
      <c r="E21" s="23">
        <f>E20/E5</f>
        <v/>
      </c>
      <c r="F21" s="23">
        <f>F20/F5</f>
        <v/>
      </c>
      <c r="G21" s="23">
        <f>G20/G5</f>
        <v/>
      </c>
      <c r="H21" s="23">
        <f>H20/H5</f>
        <v/>
      </c>
      <c r="I21" s="23">
        <f>I20/I5</f>
        <v/>
      </c>
    </row>
    <row r="22" ht="6" customHeight="1"/>
    <row r="23">
      <c r="A23" s="14" t="inlineStr">
        <is>
          <t>▌ 税前利润（EBT）</t>
        </is>
      </c>
    </row>
    <row r="24">
      <c r="A24" s="15" t="inlineStr">
        <is>
          <t xml:space="preserve">  利息及其他费用（净额）</t>
        </is>
      </c>
      <c r="B24" s="20" t="n">
        <v>310</v>
      </c>
      <c r="C24" s="20" t="n">
        <v>340</v>
      </c>
      <c r="D24" s="20" t="n">
        <v>360</v>
      </c>
      <c r="E24" s="20" t="n">
        <v>375</v>
      </c>
      <c r="F24" s="20" t="n">
        <v>820</v>
      </c>
      <c r="G24" s="20" t="n">
        <v>780</v>
      </c>
      <c r="H24" s="20" t="n">
        <v>750</v>
      </c>
      <c r="I24" s="20" t="n">
        <v>720</v>
      </c>
    </row>
    <row r="25">
      <c r="A25" s="21" t="inlineStr">
        <is>
          <t>税前利润（EBT）</t>
        </is>
      </c>
      <c r="B25" s="19">
        <f>B16-B24</f>
        <v/>
      </c>
      <c r="C25" s="19">
        <f>C16-C24</f>
        <v/>
      </c>
      <c r="D25" s="19">
        <f>D16-D24</f>
        <v/>
      </c>
      <c r="E25" s="19">
        <f>E16-E24</f>
        <v/>
      </c>
      <c r="F25" s="19">
        <f>F16-F24</f>
        <v/>
      </c>
      <c r="G25" s="19">
        <f>G16-G24</f>
        <v/>
      </c>
      <c r="H25" s="19">
        <f>H16-H24</f>
        <v/>
      </c>
      <c r="I25" s="19">
        <f>I16-I24</f>
        <v/>
      </c>
    </row>
    <row r="26" ht="6" customHeight="1"/>
    <row r="27">
      <c r="A27" s="14" t="inlineStr">
        <is>
          <t>▌ 净利润</t>
        </is>
      </c>
    </row>
    <row r="28">
      <c r="A28" s="15" t="inlineStr">
        <is>
          <t xml:space="preserve">  所得税费用</t>
        </is>
      </c>
      <c r="B28" s="19">
        <f>MAX(B25*0.22,0)</f>
        <v/>
      </c>
      <c r="C28" s="19">
        <f>MAX(C25*0.21,0)</f>
        <v/>
      </c>
      <c r="D28" s="19">
        <f>MAX(D25*0.2,0)</f>
        <v/>
      </c>
      <c r="E28" s="19">
        <f>MAX(E25*0.19,0)</f>
        <v/>
      </c>
      <c r="F28" s="19">
        <f>MAX(F25*0.21,0)</f>
        <v/>
      </c>
      <c r="G28" s="19">
        <f>MAX(G25*0.21,0)</f>
        <v/>
      </c>
      <c r="H28" s="19">
        <f>MAX(H25*0.21,0)</f>
        <v/>
      </c>
      <c r="I28" s="19">
        <f>MAX(I25*0.21,0)</f>
        <v/>
      </c>
    </row>
    <row r="29">
      <c r="A29" s="21" t="inlineStr">
        <is>
          <t>净利润</t>
        </is>
      </c>
      <c r="B29" s="19">
        <f>B25-B28</f>
        <v/>
      </c>
      <c r="C29" s="19">
        <f>C25-C28</f>
        <v/>
      </c>
      <c r="D29" s="19">
        <f>D25-D28</f>
        <v/>
      </c>
      <c r="E29" s="19">
        <f>E25-E28</f>
        <v/>
      </c>
      <c r="F29" s="19">
        <f>F25-F28</f>
        <v/>
      </c>
      <c r="G29" s="19">
        <f>G25-G28</f>
        <v/>
      </c>
      <c r="H29" s="19">
        <f>H25-H28</f>
        <v/>
      </c>
      <c r="I29" s="19">
        <f>I25-I28</f>
        <v/>
      </c>
    </row>
    <row r="30" ht="6" customHeight="1"/>
    <row r="31">
      <c r="A31" s="14" t="inlineStr">
        <is>
          <t>▌ 每股收益（EPS）</t>
        </is>
      </c>
    </row>
    <row r="32">
      <c r="A32" s="15" t="inlineStr">
        <is>
          <t xml:space="preserve">  加权平均股数（百万股，稀释后）</t>
        </is>
      </c>
      <c r="B32" s="16" t="n">
        <v>327</v>
      </c>
      <c r="C32" s="16" t="n">
        <v>321.5</v>
      </c>
      <c r="D32" s="16" t="n">
        <v>318</v>
      </c>
      <c r="E32" s="16" t="n">
        <v>315</v>
      </c>
      <c r="F32" s="16" t="n">
        <v>314</v>
      </c>
      <c r="G32" s="16" t="n">
        <v>312</v>
      </c>
      <c r="H32" s="16" t="n">
        <v>310</v>
      </c>
      <c r="I32" s="16" t="n">
        <v>308</v>
      </c>
    </row>
    <row r="33">
      <c r="A33" s="21" t="inlineStr">
        <is>
          <t>每股收益（GAAP）</t>
        </is>
      </c>
      <c r="B33" s="25">
        <f>B29/B32</f>
        <v/>
      </c>
      <c r="C33" s="25">
        <f>C29/C32</f>
        <v/>
      </c>
      <c r="D33" s="25">
        <f>D29/D32</f>
        <v/>
      </c>
      <c r="E33" s="25">
        <f>E29/E32</f>
        <v/>
      </c>
      <c r="F33" s="25">
        <f>F29/F32</f>
        <v/>
      </c>
      <c r="G33" s="25">
        <f>G29/G32</f>
        <v/>
      </c>
      <c r="H33" s="25">
        <f>H29/H32</f>
        <v/>
      </c>
      <c r="I33" s="25">
        <f>I29/I32</f>
        <v/>
      </c>
    </row>
    <row r="34">
      <c r="A34" s="15" t="inlineStr">
        <is>
          <t xml:space="preserve">  调整后每股收益（非GAAP）</t>
        </is>
      </c>
      <c r="B34" s="18" t="n">
        <v>4.85</v>
      </c>
      <c r="C34" s="18" t="n">
        <v>6.53</v>
      </c>
      <c r="D34" s="18" t="n">
        <v>8</v>
      </c>
      <c r="E34" s="18" t="n">
        <v>9.390000000000001</v>
      </c>
      <c r="F34" s="18" t="n">
        <v>11.74</v>
      </c>
      <c r="G34" s="18" t="n">
        <v>13.2</v>
      </c>
      <c r="H34" s="18" t="n">
        <v>14.8</v>
      </c>
      <c r="I34" s="18" t="n">
        <v>16.5</v>
      </c>
    </row>
    <row r="35">
      <c r="A35" s="26" t="inlineStr">
        <is>
          <t xml:space="preserve">  （调整后EPS排除资产减值、重组费用及核燃料套保损益）</t>
        </is>
      </c>
    </row>
  </sheetData>
  <mergeCells count="9">
    <mergeCell ref="A15:I15"/>
    <mergeCell ref="A7:I7"/>
    <mergeCell ref="A2:I2"/>
    <mergeCell ref="A19:I19"/>
    <mergeCell ref="A1:I1"/>
    <mergeCell ref="A23:I23"/>
    <mergeCell ref="A27:I27"/>
    <mergeCell ref="A31:I3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9" t="inlineStr">
        <is>
          <t>星座能源公司（CEG）—— 现金流量表（百万美元）</t>
        </is>
      </c>
    </row>
    <row r="2">
      <c r="A2" s="10" t="inlineStr">
        <is>
          <t>说明：蓝色 = 手工输入；黑色 = 公式；绿色 = 跨表链接</t>
        </is>
      </c>
    </row>
    <row r="3">
      <c r="A3" s="11" t="inlineStr">
        <is>
          <t>指标</t>
        </is>
      </c>
      <c r="B3" s="11" t="inlineStr">
        <is>
          <t>2022A</t>
        </is>
      </c>
      <c r="C3" s="11" t="inlineStr">
        <is>
          <t>2023A</t>
        </is>
      </c>
      <c r="D3" s="11" t="inlineStr">
        <is>
          <t>2024A</t>
        </is>
      </c>
      <c r="E3" s="11" t="inlineStr">
        <is>
          <t>2025A</t>
        </is>
      </c>
      <c r="F3" s="11" t="inlineStr">
        <is>
          <t>2026E</t>
        </is>
      </c>
      <c r="G3" s="11" t="inlineStr">
        <is>
          <t>2027E</t>
        </is>
      </c>
      <c r="H3" s="11" t="inlineStr">
        <is>
          <t>2028E</t>
        </is>
      </c>
      <c r="I3" s="11" t="inlineStr">
        <is>
          <t>2029E</t>
        </is>
      </c>
    </row>
    <row r="4">
      <c r="A4" s="14" t="inlineStr">
        <is>
          <t>▌ 经营活动现金流</t>
        </is>
      </c>
    </row>
    <row r="5">
      <c r="A5" s="15" t="inlineStr">
        <is>
          <t xml:space="preserve">  净利润</t>
        </is>
      </c>
      <c r="B5" s="24">
        <f>'利润表'!B29</f>
        <v/>
      </c>
      <c r="C5" s="24">
        <f>'利润表'!C29</f>
        <v/>
      </c>
      <c r="D5" s="24">
        <f>'利润表'!D29</f>
        <v/>
      </c>
      <c r="E5" s="24">
        <f>'利润表'!E29</f>
        <v/>
      </c>
      <c r="F5" s="24">
        <f>'利润表'!F29</f>
        <v/>
      </c>
      <c r="G5" s="24">
        <f>'利润表'!G29</f>
        <v/>
      </c>
      <c r="H5" s="24">
        <f>'利润表'!H29</f>
        <v/>
      </c>
      <c r="I5" s="24">
        <f>'利润表'!I29</f>
        <v/>
      </c>
    </row>
    <row r="6">
      <c r="A6" s="15" t="inlineStr">
        <is>
          <t xml:space="preserve">  加：折旧与摊销（D&amp;A）</t>
        </is>
      </c>
      <c r="B6" s="24">
        <f>'利润表'!B10</f>
        <v/>
      </c>
      <c r="C6" s="24">
        <f>'利润表'!C10</f>
        <v/>
      </c>
      <c r="D6" s="24">
        <f>'利润表'!D10</f>
        <v/>
      </c>
      <c r="E6" s="24">
        <f>'利润表'!E10</f>
        <v/>
      </c>
      <c r="F6" s="24">
        <f>'利润表'!F10</f>
        <v/>
      </c>
      <c r="G6" s="24">
        <f>'利润表'!G10</f>
        <v/>
      </c>
      <c r="H6" s="24">
        <f>'利润表'!H10</f>
        <v/>
      </c>
      <c r="I6" s="24">
        <f>'利润表'!I10</f>
        <v/>
      </c>
    </row>
    <row r="7">
      <c r="A7" s="15" t="inlineStr">
        <is>
          <t xml:space="preserve">  营运资本变动（净额）</t>
        </is>
      </c>
      <c r="B7" s="20" t="n">
        <v>-180</v>
      </c>
      <c r="C7" s="20" t="n">
        <v>-210</v>
      </c>
      <c r="D7" s="20" t="n">
        <v>-195</v>
      </c>
      <c r="E7" s="20" t="n">
        <v>-220</v>
      </c>
      <c r="F7" s="20" t="n">
        <v>-380</v>
      </c>
      <c r="G7" s="20" t="n">
        <v>-320</v>
      </c>
      <c r="H7" s="20" t="n">
        <v>-300</v>
      </c>
      <c r="I7" s="20" t="n">
        <v>-280</v>
      </c>
    </row>
    <row r="8">
      <c r="A8" s="15" t="inlineStr">
        <is>
          <t xml:space="preserve">  递延所得税</t>
        </is>
      </c>
      <c r="B8" s="20" t="n">
        <v>120</v>
      </c>
      <c r="C8" s="20" t="n">
        <v>135</v>
      </c>
      <c r="D8" s="20" t="n">
        <v>145</v>
      </c>
      <c r="E8" s="20" t="n">
        <v>160</v>
      </c>
      <c r="F8" s="20" t="n">
        <v>250</v>
      </c>
      <c r="G8" s="20" t="n">
        <v>240</v>
      </c>
      <c r="H8" s="20" t="n">
        <v>230</v>
      </c>
      <c r="I8" s="20" t="n">
        <v>220</v>
      </c>
    </row>
    <row r="9">
      <c r="A9" s="15" t="inlineStr">
        <is>
          <t xml:space="preserve">  其他非现金项目及调整</t>
        </is>
      </c>
      <c r="B9" s="20" t="n">
        <v>85</v>
      </c>
      <c r="C9" s="20" t="n">
        <v>92</v>
      </c>
      <c r="D9" s="20" t="n">
        <v>78</v>
      </c>
      <c r="E9" s="20" t="n">
        <v>110</v>
      </c>
      <c r="F9" s="20" t="n">
        <v>160</v>
      </c>
      <c r="G9" s="20" t="n">
        <v>150</v>
      </c>
      <c r="H9" s="20" t="n">
        <v>140</v>
      </c>
      <c r="I9" s="20" t="n">
        <v>135</v>
      </c>
    </row>
    <row r="10">
      <c r="A10" s="21" t="inlineStr">
        <is>
          <t>经营活动产生的现金流量净额</t>
        </is>
      </c>
      <c r="B10" s="19">
        <f>B5+B6+B7+B8+B9</f>
        <v/>
      </c>
      <c r="C10" s="19">
        <f>C5+C6+C7+C8+C9</f>
        <v/>
      </c>
      <c r="D10" s="19">
        <f>D5+D6+D7+D8+D9</f>
        <v/>
      </c>
      <c r="E10" s="19">
        <f>E5+E6+E7+E8+E9</f>
        <v/>
      </c>
      <c r="F10" s="19">
        <f>F5+F6+F7+F8+F9</f>
        <v/>
      </c>
      <c r="G10" s="19">
        <f>G5+G6+G7+G8+G9</f>
        <v/>
      </c>
      <c r="H10" s="19">
        <f>H5+H6+H7+H8+H9</f>
        <v/>
      </c>
      <c r="I10" s="19">
        <f>I5+I6+I7+I8+I9</f>
        <v/>
      </c>
    </row>
    <row r="11" ht="6" customHeight="1"/>
    <row r="12">
      <c r="A12" s="14" t="inlineStr">
        <is>
          <t>▌ 投资活动现金流</t>
        </is>
      </c>
    </row>
    <row r="13">
      <c r="A13" s="15" t="inlineStr">
        <is>
          <t xml:space="preserve">  资本支出（CapEx）</t>
        </is>
      </c>
      <c r="B13" s="20" t="n">
        <v>-1250</v>
      </c>
      <c r="C13" s="20" t="n">
        <v>-1380</v>
      </c>
      <c r="D13" s="20" t="n">
        <v>-1520</v>
      </c>
      <c r="E13" s="20" t="n">
        <v>-1680</v>
      </c>
      <c r="F13" s="20" t="n">
        <v>-3200</v>
      </c>
      <c r="G13" s="20" t="n">
        <v>-2800</v>
      </c>
      <c r="H13" s="20" t="n">
        <v>-2600</v>
      </c>
      <c r="I13" s="20" t="n">
        <v>-2400</v>
      </c>
    </row>
    <row r="14">
      <c r="A14" s="15" t="inlineStr">
        <is>
          <t xml:space="preserve">  核电功率提升投资</t>
        </is>
      </c>
      <c r="B14" s="20" t="n">
        <v>0</v>
      </c>
      <c r="C14" s="20" t="n">
        <v>-85</v>
      </c>
      <c r="D14" s="20" t="n">
        <v>-120</v>
      </c>
      <c r="E14" s="20" t="n">
        <v>-180</v>
      </c>
      <c r="F14" s="20" t="n">
        <v>-450</v>
      </c>
      <c r="G14" s="20" t="n">
        <v>-380</v>
      </c>
      <c r="H14" s="20" t="n">
        <v>-300</v>
      </c>
      <c r="I14" s="20" t="n">
        <v>-250</v>
      </c>
    </row>
    <row r="15">
      <c r="A15" s="15" t="inlineStr">
        <is>
          <t xml:space="preserve">  收购卡尔派恩（净现金）</t>
        </is>
      </c>
      <c r="B15" s="20" t="n">
        <v>0</v>
      </c>
      <c r="C15" s="20" t="n">
        <v>0</v>
      </c>
      <c r="D15" s="20" t="n">
        <v>0</v>
      </c>
      <c r="E15" s="20" t="n">
        <v>0</v>
      </c>
      <c r="F15" s="20" t="n">
        <v>-16400</v>
      </c>
      <c r="G15" s="20" t="n">
        <v>0</v>
      </c>
      <c r="H15" s="20" t="n">
        <v>0</v>
      </c>
      <c r="I15" s="20" t="n">
        <v>0</v>
      </c>
    </row>
    <row r="16">
      <c r="A16" s="15" t="inlineStr">
        <is>
          <t xml:space="preserve">  资产出售及其他投资</t>
        </is>
      </c>
      <c r="B16" s="20" t="n">
        <v>0</v>
      </c>
      <c r="C16" s="20" t="n">
        <v>180</v>
      </c>
      <c r="D16" s="20" t="n">
        <v>95</v>
      </c>
      <c r="E16" s="20" t="n">
        <v>120</v>
      </c>
      <c r="F16" s="20" t="n">
        <v>350</v>
      </c>
      <c r="G16" s="20" t="n">
        <v>200</v>
      </c>
      <c r="H16" s="20" t="n">
        <v>150</v>
      </c>
      <c r="I16" s="20" t="n">
        <v>120</v>
      </c>
    </row>
    <row r="17">
      <c r="A17" s="21" t="inlineStr">
        <is>
          <t>投资活动产生的现金流量净额</t>
        </is>
      </c>
      <c r="B17" s="19">
        <f>B13+B14+B15+B16</f>
        <v/>
      </c>
      <c r="C17" s="19">
        <f>C13+C14+C15+C16</f>
        <v/>
      </c>
      <c r="D17" s="19">
        <f>D13+D14+D15+D16</f>
        <v/>
      </c>
      <c r="E17" s="19">
        <f>E13+E14+E15+E16</f>
        <v/>
      </c>
      <c r="F17" s="19">
        <f>F13+F14+F15+F16</f>
        <v/>
      </c>
      <c r="G17" s="19">
        <f>G13+G14+G15+G16</f>
        <v/>
      </c>
      <c r="H17" s="19">
        <f>H13+H14+H15+H16</f>
        <v/>
      </c>
      <c r="I17" s="19">
        <f>I13+I14+I15+I16</f>
        <v/>
      </c>
    </row>
    <row r="18" ht="6" customHeight="1"/>
    <row r="19">
      <c r="A19" s="14" t="inlineStr">
        <is>
          <t>▌ 筹资活动现金流</t>
        </is>
      </c>
    </row>
    <row r="20">
      <c r="A20" s="15" t="inlineStr">
        <is>
          <t xml:space="preserve">  债务发行（净额）</t>
        </is>
      </c>
      <c r="B20" s="20" t="n">
        <v>1200</v>
      </c>
      <c r="C20" s="20" t="n">
        <v>800</v>
      </c>
      <c r="D20" s="20" t="n">
        <v>500</v>
      </c>
      <c r="E20" s="20" t="n">
        <v>2500</v>
      </c>
      <c r="F20" s="20" t="n">
        <v>18000</v>
      </c>
      <c r="G20" s="20" t="n">
        <v>-1500</v>
      </c>
      <c r="H20" s="20" t="n">
        <v>-1500</v>
      </c>
      <c r="I20" s="20" t="n">
        <v>-1500</v>
      </c>
    </row>
    <row r="21">
      <c r="A21" s="15" t="inlineStr">
        <is>
          <t xml:space="preserve">  股息支付</t>
        </is>
      </c>
      <c r="B21" s="20" t="n">
        <v>-320</v>
      </c>
      <c r="C21" s="20" t="n">
        <v>-345</v>
      </c>
      <c r="D21" s="20" t="n">
        <v>-370</v>
      </c>
      <c r="E21" s="20" t="n">
        <v>-400</v>
      </c>
      <c r="F21" s="20" t="n">
        <v>-480</v>
      </c>
      <c r="G21" s="20" t="n">
        <v>-520</v>
      </c>
      <c r="H21" s="20" t="n">
        <v>-560</v>
      </c>
      <c r="I21" s="20" t="n">
        <v>-600</v>
      </c>
    </row>
    <row r="22">
      <c r="A22" s="15" t="inlineStr">
        <is>
          <t xml:space="preserve">  股票回购</t>
        </is>
      </c>
      <c r="B22" s="20" t="n">
        <v>-580</v>
      </c>
      <c r="C22" s="20" t="n">
        <v>-720</v>
      </c>
      <c r="D22" s="20" t="n">
        <v>-850</v>
      </c>
      <c r="E22" s="20" t="n">
        <v>-900</v>
      </c>
      <c r="F22" s="20" t="n">
        <v>-500</v>
      </c>
      <c r="G22" s="20" t="n">
        <v>-600</v>
      </c>
      <c r="H22" s="20" t="n">
        <v>-700</v>
      </c>
      <c r="I22" s="20" t="n">
        <v>-800</v>
      </c>
    </row>
    <row r="23">
      <c r="A23" s="15" t="inlineStr">
        <is>
          <t xml:space="preserve">  其他筹资活动</t>
        </is>
      </c>
      <c r="B23" s="20" t="n">
        <v>-45</v>
      </c>
      <c r="C23" s="20" t="n">
        <v>-38</v>
      </c>
      <c r="D23" s="20" t="n">
        <v>-52</v>
      </c>
      <c r="E23" s="20" t="n">
        <v>-60</v>
      </c>
      <c r="F23" s="20" t="n">
        <v>-95</v>
      </c>
      <c r="G23" s="20" t="n">
        <v>-80</v>
      </c>
      <c r="H23" s="20" t="n">
        <v>-75</v>
      </c>
      <c r="I23" s="20" t="n">
        <v>-70</v>
      </c>
    </row>
    <row r="24">
      <c r="A24" s="21" t="inlineStr">
        <is>
          <t>筹资活动产生的现金流量净额</t>
        </is>
      </c>
      <c r="B24" s="19">
        <f>B20+B21+B22+B23</f>
        <v/>
      </c>
      <c r="C24" s="19">
        <f>C20+C21+C22+C23</f>
        <v/>
      </c>
      <c r="D24" s="19">
        <f>D20+D21+D22+D23</f>
        <v/>
      </c>
      <c r="E24" s="19">
        <f>E20+E21+E22+E23</f>
        <v/>
      </c>
      <c r="F24" s="19">
        <f>F20+F21+F22+F23</f>
        <v/>
      </c>
      <c r="G24" s="19">
        <f>G20+G21+G22+G23</f>
        <v/>
      </c>
      <c r="H24" s="19">
        <f>H20+H21+H22+H23</f>
        <v/>
      </c>
      <c r="I24" s="19">
        <f>I20+I21+I22+I23</f>
        <v/>
      </c>
    </row>
    <row r="25" ht="6" customHeight="1"/>
    <row r="26">
      <c r="A26" s="14" t="inlineStr">
        <is>
          <t>▌ 现金及现金等价物变动</t>
        </is>
      </c>
    </row>
    <row r="27">
      <c r="A27" s="15" t="inlineStr">
        <is>
          <t xml:space="preserve">  现金净变动</t>
        </is>
      </c>
      <c r="B27" s="19">
        <f>B10+B17+B24</f>
        <v/>
      </c>
      <c r="C27" s="19">
        <f>C10+C17+C24</f>
        <v/>
      </c>
      <c r="D27" s="19">
        <f>D10+D17+D24</f>
        <v/>
      </c>
      <c r="E27" s="19">
        <f>E10+E17+E24</f>
        <v/>
      </c>
      <c r="F27" s="19">
        <f>F10+F17+F24</f>
        <v/>
      </c>
      <c r="G27" s="19">
        <f>G10+G17+G24</f>
        <v/>
      </c>
      <c r="H27" s="19">
        <f>H10+H17+H24</f>
        <v/>
      </c>
      <c r="I27" s="19">
        <f>I10+I17+I24</f>
        <v/>
      </c>
    </row>
    <row r="28">
      <c r="A28" s="15" t="inlineStr">
        <is>
          <t xml:space="preserve">  期初现金余额</t>
        </is>
      </c>
      <c r="B28" s="20" t="n">
        <v>1420</v>
      </c>
      <c r="C28" s="20" t="n">
        <v>2185</v>
      </c>
      <c r="D28" s="20" t="n">
        <v>2640</v>
      </c>
      <c r="E28" s="20" t="n">
        <v>2918</v>
      </c>
      <c r="F28" s="20" t="n">
        <v>3100</v>
      </c>
      <c r="G28" s="20" t="n">
        <v>1825</v>
      </c>
      <c r="H28" s="20" t="n">
        <v>1965</v>
      </c>
      <c r="I28" s="20" t="n">
        <v>2130</v>
      </c>
    </row>
    <row r="29">
      <c r="A29" s="15" t="inlineStr">
        <is>
          <t xml:space="preserve">  期末现金余额</t>
        </is>
      </c>
      <c r="B29" s="19">
        <f>B28+B27</f>
        <v/>
      </c>
      <c r="C29" s="19">
        <f>C28+C27</f>
        <v/>
      </c>
      <c r="D29" s="19">
        <f>D28+D27</f>
        <v/>
      </c>
      <c r="E29" s="19">
        <f>E28+E27</f>
        <v/>
      </c>
      <c r="F29" s="19">
        <f>F28+F27</f>
        <v/>
      </c>
      <c r="G29" s="19">
        <f>G28+G27</f>
        <v/>
      </c>
      <c r="H29" s="19">
        <f>H28+H27</f>
        <v/>
      </c>
      <c r="I29" s="19">
        <f>I28+I27</f>
        <v/>
      </c>
    </row>
    <row r="30" ht="6" customHeight="1"/>
    <row r="31">
      <c r="A31" s="14" t="inlineStr">
        <is>
          <t>▌ 自由现金流（FCF）</t>
        </is>
      </c>
    </row>
    <row r="32">
      <c r="A32" s="21" t="inlineStr">
        <is>
          <t>自由现金流（FCF）= 经营活动现金 + CapEx</t>
        </is>
      </c>
      <c r="B32" s="19">
        <f>B10+B13</f>
        <v/>
      </c>
      <c r="C32" s="19">
        <f>C10+C13</f>
        <v/>
      </c>
      <c r="D32" s="19">
        <f>D10+D13</f>
        <v/>
      </c>
      <c r="E32" s="19">
        <f>E10+E13</f>
        <v/>
      </c>
      <c r="F32" s="19">
        <f>F10+F13</f>
        <v/>
      </c>
      <c r="G32" s="19">
        <f>G10+G13</f>
        <v/>
      </c>
      <c r="H32" s="19">
        <f>H10+H13</f>
        <v/>
      </c>
      <c r="I32" s="19">
        <f>I10+I13</f>
        <v/>
      </c>
    </row>
    <row r="33">
      <c r="A33" s="15" t="inlineStr">
        <is>
          <t xml:space="preserve">  FCF转换率（FCF/净利润）</t>
        </is>
      </c>
      <c r="B33" s="23">
        <f>IF(B5&lt;&gt;0,B32/B5,0)</f>
        <v/>
      </c>
      <c r="C33" s="23">
        <f>IF(C5&lt;&gt;0,C32/C5,0)</f>
        <v/>
      </c>
      <c r="D33" s="23">
        <f>IF(D5&lt;&gt;0,D32/D5,0)</f>
        <v/>
      </c>
      <c r="E33" s="23">
        <f>IF(E5&lt;&gt;0,E32/E5,0)</f>
        <v/>
      </c>
      <c r="F33" s="23">
        <f>IF(F5&lt;&gt;0,F32/F5,0)</f>
        <v/>
      </c>
      <c r="G33" s="23">
        <f>IF(G5&lt;&gt;0,G32/G5,0)</f>
        <v/>
      </c>
      <c r="H33" s="23">
        <f>IF(H5&lt;&gt;0,H32/H5,0)</f>
        <v/>
      </c>
      <c r="I33" s="23">
        <f>IF(I5&lt;&gt;0,I32/I5,0)</f>
        <v/>
      </c>
    </row>
    <row r="34">
      <c r="A34" s="15" t="inlineStr">
        <is>
          <t xml:space="preserve">  每股自由现金流</t>
        </is>
      </c>
      <c r="B34" s="25">
        <f>IF('利润表'!B32&lt;&gt;0,B32/'利润表'!B32,0)</f>
        <v/>
      </c>
      <c r="C34" s="25">
        <f>IF('利润表'!C32&lt;&gt;0,C32/'利润表'!C32,0)</f>
        <v/>
      </c>
      <c r="D34" s="25">
        <f>IF('利润表'!D32&lt;&gt;0,D32/'利润表'!D32,0)</f>
        <v/>
      </c>
      <c r="E34" s="25">
        <f>IF('利润表'!E32&lt;&gt;0,E32/'利润表'!E32,0)</f>
        <v/>
      </c>
      <c r="F34" s="25">
        <f>IF('利润表'!F32&lt;&gt;0,F32/'利润表'!F32,0)</f>
        <v/>
      </c>
      <c r="G34" s="25">
        <f>IF('利润表'!G32&lt;&gt;0,G32/'利润表'!G32,0)</f>
        <v/>
      </c>
      <c r="H34" s="25">
        <f>IF('利润表'!H32&lt;&gt;0,H32/'利润表'!H32,0)</f>
        <v/>
      </c>
      <c r="I34" s="25">
        <f>IF('利润表'!I32&lt;&gt;0,I32/'利润表'!I32,0)</f>
        <v/>
      </c>
    </row>
  </sheetData>
  <mergeCells count="7">
    <mergeCell ref="A19:I19"/>
    <mergeCell ref="A2:I2"/>
    <mergeCell ref="A1:I1"/>
    <mergeCell ref="A31:I31"/>
    <mergeCell ref="A12:I12"/>
    <mergeCell ref="A4:I4"/>
    <mergeCell ref="A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9" t="inlineStr">
        <is>
          <t>星座能源公司（CEG）—— 资产负债表（百万美元）</t>
        </is>
      </c>
    </row>
    <row r="2">
      <c r="A2" s="10" t="inlineStr">
        <is>
          <t>说明：蓝色 = 手工输入；黑色 = 公式；绿色 = 跨表链接</t>
        </is>
      </c>
    </row>
    <row r="3">
      <c r="A3" s="11" t="inlineStr">
        <is>
          <t>指标</t>
        </is>
      </c>
      <c r="B3" s="11" t="inlineStr">
        <is>
          <t>2022A</t>
        </is>
      </c>
      <c r="C3" s="11" t="inlineStr">
        <is>
          <t>2023A</t>
        </is>
      </c>
      <c r="D3" s="11" t="inlineStr">
        <is>
          <t>2024A</t>
        </is>
      </c>
      <c r="E3" s="11" t="inlineStr">
        <is>
          <t>2025A</t>
        </is>
      </c>
      <c r="F3" s="11" t="inlineStr">
        <is>
          <t>2026E</t>
        </is>
      </c>
      <c r="G3" s="11" t="inlineStr">
        <is>
          <t>2027E</t>
        </is>
      </c>
      <c r="H3" s="11" t="inlineStr">
        <is>
          <t>2028E</t>
        </is>
      </c>
      <c r="I3" s="11" t="inlineStr">
        <is>
          <t>2029E</t>
        </is>
      </c>
    </row>
    <row r="4">
      <c r="A4" s="14" t="inlineStr">
        <is>
          <t>▌ 流动资产</t>
        </is>
      </c>
    </row>
    <row r="5">
      <c r="A5" s="15" t="inlineStr">
        <is>
          <t xml:space="preserve">  现金及现金等价物</t>
        </is>
      </c>
      <c r="B5" s="24">
        <f>'现金流量表'!B29</f>
        <v/>
      </c>
      <c r="C5" s="24">
        <f>'现金流量表'!C29</f>
        <v/>
      </c>
      <c r="D5" s="24">
        <f>'现金流量表'!D29</f>
        <v/>
      </c>
      <c r="E5" s="24">
        <f>'现金流量表'!E29</f>
        <v/>
      </c>
      <c r="F5" s="24">
        <f>'现金流量表'!F29</f>
        <v/>
      </c>
      <c r="G5" s="24">
        <f>'现金流量表'!G29</f>
        <v/>
      </c>
      <c r="H5" s="24">
        <f>'现金流量表'!H29</f>
        <v/>
      </c>
      <c r="I5" s="24">
        <f>'现金流量表'!I29</f>
        <v/>
      </c>
    </row>
    <row r="6">
      <c r="A6" s="15" t="inlineStr">
        <is>
          <t xml:space="preserve">  应收账款（净额）</t>
        </is>
      </c>
      <c r="B6" s="20" t="n">
        <v>1820</v>
      </c>
      <c r="C6" s="20" t="n">
        <v>1950</v>
      </c>
      <c r="D6" s="20" t="n">
        <v>2100</v>
      </c>
      <c r="E6" s="20" t="n">
        <v>2280</v>
      </c>
      <c r="F6" s="20" t="n">
        <v>3500</v>
      </c>
      <c r="G6" s="20" t="n">
        <v>3650</v>
      </c>
      <c r="H6" s="20" t="n">
        <v>3800</v>
      </c>
      <c r="I6" s="20" t="n">
        <v>3950</v>
      </c>
    </row>
    <row r="7">
      <c r="A7" s="15" t="inlineStr">
        <is>
          <t xml:space="preserve">  存货（核燃料等）</t>
        </is>
      </c>
      <c r="B7" s="20" t="n">
        <v>380</v>
      </c>
      <c r="C7" s="20" t="n">
        <v>410</v>
      </c>
      <c r="D7" s="20" t="n">
        <v>435</v>
      </c>
      <c r="E7" s="20" t="n">
        <v>465</v>
      </c>
      <c r="F7" s="20" t="n">
        <v>720</v>
      </c>
      <c r="G7" s="20" t="n">
        <v>750</v>
      </c>
      <c r="H7" s="20" t="n">
        <v>770</v>
      </c>
      <c r="I7" s="20" t="n">
        <v>790</v>
      </c>
    </row>
    <row r="8">
      <c r="A8" s="15" t="inlineStr">
        <is>
          <t xml:space="preserve">  其他流动资产</t>
        </is>
      </c>
      <c r="B8" s="20" t="n">
        <v>920</v>
      </c>
      <c r="C8" s="20" t="n">
        <v>980</v>
      </c>
      <c r="D8" s="20" t="n">
        <v>1040</v>
      </c>
      <c r="E8" s="20" t="n">
        <v>1120</v>
      </c>
      <c r="F8" s="20" t="n">
        <v>1750</v>
      </c>
      <c r="G8" s="20" t="n">
        <v>1800</v>
      </c>
      <c r="H8" s="20" t="n">
        <v>1850</v>
      </c>
      <c r="I8" s="20" t="n">
        <v>1900</v>
      </c>
    </row>
    <row r="9">
      <c r="A9" s="21" t="inlineStr">
        <is>
          <t>流动资产合计</t>
        </is>
      </c>
      <c r="B9" s="19">
        <f>B5+B6+B7+B8</f>
        <v/>
      </c>
      <c r="C9" s="19">
        <f>C5+C6+C7+C8</f>
        <v/>
      </c>
      <c r="D9" s="19">
        <f>D5+D6+D7+D8</f>
        <v/>
      </c>
      <c r="E9" s="19">
        <f>E5+E6+E7+E8</f>
        <v/>
      </c>
      <c r="F9" s="19">
        <f>F5+F6+F7+F8</f>
        <v/>
      </c>
      <c r="G9" s="19">
        <f>G5+G6+G7+G8</f>
        <v/>
      </c>
      <c r="H9" s="19">
        <f>H5+H6+H7+H8</f>
        <v/>
      </c>
      <c r="I9" s="19">
        <f>I5+I6+I7+I8</f>
        <v/>
      </c>
    </row>
    <row r="10" ht="6" customHeight="1"/>
    <row r="11">
      <c r="A11" s="14" t="inlineStr">
        <is>
          <t>▌ 非流动资产</t>
        </is>
      </c>
    </row>
    <row r="12">
      <c r="A12" s="15" t="inlineStr">
        <is>
          <t xml:space="preserve">  固定资产（净额，PP&amp;E）</t>
        </is>
      </c>
      <c r="B12" s="20" t="n">
        <v>15800</v>
      </c>
      <c r="C12" s="20" t="n">
        <v>16500</v>
      </c>
      <c r="D12" s="20" t="n">
        <v>17200</v>
      </c>
      <c r="E12" s="20" t="n">
        <v>18100</v>
      </c>
      <c r="F12" s="20" t="n">
        <v>46500</v>
      </c>
      <c r="G12" s="20" t="n">
        <v>47800</v>
      </c>
      <c r="H12" s="20" t="n">
        <v>48500</v>
      </c>
      <c r="I12" s="20" t="n">
        <v>49000</v>
      </c>
    </row>
    <row r="13">
      <c r="A13" s="15" t="inlineStr">
        <is>
          <t xml:space="preserve">  商誉</t>
        </is>
      </c>
      <c r="B13" s="20" t="n">
        <v>1240</v>
      </c>
      <c r="C13" s="20" t="n">
        <v>1240</v>
      </c>
      <c r="D13" s="20" t="n">
        <v>1240</v>
      </c>
      <c r="E13" s="20" t="n">
        <v>1240</v>
      </c>
      <c r="F13" s="20" t="n">
        <v>8500</v>
      </c>
      <c r="G13" s="20" t="n">
        <v>8500</v>
      </c>
      <c r="H13" s="20" t="n">
        <v>8500</v>
      </c>
      <c r="I13" s="20" t="n">
        <v>8500</v>
      </c>
    </row>
    <row r="14">
      <c r="A14" s="15" t="inlineStr">
        <is>
          <t xml:space="preserve">  无形资产（净额）</t>
        </is>
      </c>
      <c r="B14" s="20" t="n">
        <v>385</v>
      </c>
      <c r="C14" s="20" t="n">
        <v>360</v>
      </c>
      <c r="D14" s="20" t="n">
        <v>335</v>
      </c>
      <c r="E14" s="20" t="n">
        <v>310</v>
      </c>
      <c r="F14" s="20" t="n">
        <v>2800</v>
      </c>
      <c r="G14" s="20" t="n">
        <v>2600</v>
      </c>
      <c r="H14" s="20" t="n">
        <v>2400</v>
      </c>
      <c r="I14" s="20" t="n">
        <v>2200</v>
      </c>
    </row>
    <row r="15">
      <c r="A15" s="15" t="inlineStr">
        <is>
          <t xml:space="preserve">  核退役信托基金</t>
        </is>
      </c>
      <c r="B15" s="20" t="n">
        <v>2580</v>
      </c>
      <c r="C15" s="20" t="n">
        <v>2750</v>
      </c>
      <c r="D15" s="20" t="n">
        <v>2920</v>
      </c>
      <c r="E15" s="20" t="n">
        <v>3050</v>
      </c>
      <c r="F15" s="20" t="n">
        <v>3200</v>
      </c>
      <c r="G15" s="20" t="n">
        <v>3350</v>
      </c>
      <c r="H15" s="20" t="n">
        <v>3500</v>
      </c>
      <c r="I15" s="20" t="n">
        <v>3650</v>
      </c>
    </row>
    <row r="16">
      <c r="A16" s="15" t="inlineStr">
        <is>
          <t xml:space="preserve">  其他非流动资产</t>
        </is>
      </c>
      <c r="B16" s="20" t="n">
        <v>1020</v>
      </c>
      <c r="C16" s="20" t="n">
        <v>1080</v>
      </c>
      <c r="D16" s="20" t="n">
        <v>1140</v>
      </c>
      <c r="E16" s="20" t="n">
        <v>1230</v>
      </c>
      <c r="F16" s="20" t="n">
        <v>2200</v>
      </c>
      <c r="G16" s="20" t="n">
        <v>2150</v>
      </c>
      <c r="H16" s="20" t="n">
        <v>2100</v>
      </c>
      <c r="I16" s="20" t="n">
        <v>2050</v>
      </c>
    </row>
    <row r="17">
      <c r="A17" s="21" t="inlineStr">
        <is>
          <t>非流动资产合计</t>
        </is>
      </c>
      <c r="B17" s="19">
        <f>B12+B13+B14+B15+B16</f>
        <v/>
      </c>
      <c r="C17" s="19">
        <f>C12+C13+C14+C15+C16</f>
        <v/>
      </c>
      <c r="D17" s="19">
        <f>D12+D13+D14+D15+D16</f>
        <v/>
      </c>
      <c r="E17" s="19">
        <f>E12+E13+E14+E15+E16</f>
        <v/>
      </c>
      <c r="F17" s="19">
        <f>F12+F13+F14+F15+F16</f>
        <v/>
      </c>
      <c r="G17" s="19">
        <f>G12+G13+G14+G15+G16</f>
        <v/>
      </c>
      <c r="H17" s="19">
        <f>H12+H13+H14+H15+H16</f>
        <v/>
      </c>
      <c r="I17" s="19">
        <f>I12+I13+I14+I15+I16</f>
        <v/>
      </c>
    </row>
    <row r="18" ht="6" customHeight="1"/>
    <row r="19">
      <c r="A19" s="27" t="inlineStr">
        <is>
          <t>资产总计</t>
        </is>
      </c>
      <c r="B19" s="19">
        <f>B9+B17</f>
        <v/>
      </c>
      <c r="C19" s="19">
        <f>C9+C17</f>
        <v/>
      </c>
      <c r="D19" s="19">
        <f>D9+D17</f>
        <v/>
      </c>
      <c r="E19" s="19">
        <f>E9+E17</f>
        <v/>
      </c>
      <c r="F19" s="19">
        <f>F9+F17</f>
        <v/>
      </c>
      <c r="G19" s="19">
        <f>G9+G17</f>
        <v/>
      </c>
      <c r="H19" s="19">
        <f>H9+H17</f>
        <v/>
      </c>
      <c r="I19" s="19">
        <f>I9+I17</f>
        <v/>
      </c>
    </row>
    <row r="20" ht="6" customHeight="1"/>
    <row r="21">
      <c r="A21" s="14" t="inlineStr">
        <is>
          <t>▌ 流动负债</t>
        </is>
      </c>
    </row>
    <row r="22">
      <c r="A22" s="15" t="inlineStr">
        <is>
          <t xml:space="preserve">  应付账款</t>
        </is>
      </c>
      <c r="B22" s="20" t="n">
        <v>1240</v>
      </c>
      <c r="C22" s="20" t="n">
        <v>1320</v>
      </c>
      <c r="D22" s="20" t="n">
        <v>1410</v>
      </c>
      <c r="E22" s="20" t="n">
        <v>1520</v>
      </c>
      <c r="F22" s="20" t="n">
        <v>2400</v>
      </c>
      <c r="G22" s="20" t="n">
        <v>2500</v>
      </c>
      <c r="H22" s="20" t="n">
        <v>2600</v>
      </c>
      <c r="I22" s="20" t="n">
        <v>2700</v>
      </c>
    </row>
    <row r="23">
      <c r="A23" s="15" t="inlineStr">
        <is>
          <t xml:space="preserve">  短期债务及一年内到期长期债务</t>
        </is>
      </c>
      <c r="B23" s="20" t="n">
        <v>420</v>
      </c>
      <c r="C23" s="20" t="n">
        <v>650</v>
      </c>
      <c r="D23" s="20" t="n">
        <v>480</v>
      </c>
      <c r="E23" s="20" t="n">
        <v>500</v>
      </c>
      <c r="F23" s="20" t="n">
        <v>1200</v>
      </c>
      <c r="G23" s="20" t="n">
        <v>1200</v>
      </c>
      <c r="H23" s="20" t="n">
        <v>1200</v>
      </c>
      <c r="I23" s="20" t="n">
        <v>1200</v>
      </c>
    </row>
    <row r="24">
      <c r="A24" s="15" t="inlineStr">
        <is>
          <t xml:space="preserve">  应计负债</t>
        </is>
      </c>
      <c r="B24" s="20" t="n">
        <v>985</v>
      </c>
      <c r="C24" s="20" t="n">
        <v>1050</v>
      </c>
      <c r="D24" s="20" t="n">
        <v>1120</v>
      </c>
      <c r="E24" s="20" t="n">
        <v>1210</v>
      </c>
      <c r="F24" s="20" t="n">
        <v>1900</v>
      </c>
      <c r="G24" s="20" t="n">
        <v>1950</v>
      </c>
      <c r="H24" s="20" t="n">
        <v>2000</v>
      </c>
      <c r="I24" s="20" t="n">
        <v>2050</v>
      </c>
    </row>
    <row r="25">
      <c r="A25" s="15" t="inlineStr">
        <is>
          <t xml:space="preserve">  其他流动负债</t>
        </is>
      </c>
      <c r="B25" s="20" t="n">
        <v>680</v>
      </c>
      <c r="C25" s="20" t="n">
        <v>720</v>
      </c>
      <c r="D25" s="20" t="n">
        <v>760</v>
      </c>
      <c r="E25" s="20" t="n">
        <v>810</v>
      </c>
      <c r="F25" s="20" t="n">
        <v>1300</v>
      </c>
      <c r="G25" s="20" t="n">
        <v>1350</v>
      </c>
      <c r="H25" s="20" t="n">
        <v>1400</v>
      </c>
      <c r="I25" s="20" t="n">
        <v>1450</v>
      </c>
    </row>
    <row r="26">
      <c r="A26" s="21" t="inlineStr">
        <is>
          <t>流动负债合计</t>
        </is>
      </c>
      <c r="B26" s="19">
        <f>B22+B23+B24+B25</f>
        <v/>
      </c>
      <c r="C26" s="19">
        <f>C22+C23+C24+C25</f>
        <v/>
      </c>
      <c r="D26" s="19">
        <f>D22+D23+D24+D25</f>
        <v/>
      </c>
      <c r="E26" s="19">
        <f>E22+E23+E24+E25</f>
        <v/>
      </c>
      <c r="F26" s="19">
        <f>F22+F23+F24+F25</f>
        <v/>
      </c>
      <c r="G26" s="19">
        <f>G22+G23+G24+G25</f>
        <v/>
      </c>
      <c r="H26" s="19">
        <f>H22+H23+H24+H25</f>
        <v/>
      </c>
      <c r="I26" s="19">
        <f>I22+I23+I24+I25</f>
        <v/>
      </c>
    </row>
    <row r="27" ht="6" customHeight="1"/>
    <row r="28">
      <c r="A28" s="14" t="inlineStr">
        <is>
          <t>▌ 非流动负债</t>
        </is>
      </c>
    </row>
    <row r="29">
      <c r="A29" s="15" t="inlineStr">
        <is>
          <t xml:space="preserve">  长期债务</t>
        </is>
      </c>
      <c r="B29" s="20" t="n">
        <v>7850</v>
      </c>
      <c r="C29" s="20" t="n">
        <v>8100</v>
      </c>
      <c r="D29" s="20" t="n">
        <v>8350</v>
      </c>
      <c r="E29" s="20" t="n">
        <v>8600</v>
      </c>
      <c r="F29" s="20" t="n">
        <v>23500</v>
      </c>
      <c r="G29" s="20" t="n">
        <v>22000</v>
      </c>
      <c r="H29" s="20" t="n">
        <v>20500</v>
      </c>
      <c r="I29" s="20" t="n">
        <v>19000</v>
      </c>
    </row>
    <row r="30">
      <c r="A30" s="15" t="inlineStr">
        <is>
          <t xml:space="preserve">  递延所得税负债</t>
        </is>
      </c>
      <c r="B30" s="20" t="n">
        <v>1420</v>
      </c>
      <c r="C30" s="20" t="n">
        <v>1510</v>
      </c>
      <c r="D30" s="20" t="n">
        <v>1620</v>
      </c>
      <c r="E30" s="20" t="n">
        <v>1750</v>
      </c>
      <c r="F30" s="20" t="n">
        <v>2800</v>
      </c>
      <c r="G30" s="20" t="n">
        <v>2750</v>
      </c>
      <c r="H30" s="20" t="n">
        <v>2700</v>
      </c>
      <c r="I30" s="20" t="n">
        <v>2650</v>
      </c>
    </row>
    <row r="31">
      <c r="A31" s="15" t="inlineStr">
        <is>
          <t xml:space="preserve">  核退役义务（ARO）</t>
        </is>
      </c>
      <c r="B31" s="20" t="n">
        <v>3180</v>
      </c>
      <c r="C31" s="20" t="n">
        <v>3320</v>
      </c>
      <c r="D31" s="20" t="n">
        <v>3480</v>
      </c>
      <c r="E31" s="20" t="n">
        <v>3650</v>
      </c>
      <c r="F31" s="20" t="n">
        <v>4200</v>
      </c>
      <c r="G31" s="20" t="n">
        <v>4350</v>
      </c>
      <c r="H31" s="20" t="n">
        <v>4500</v>
      </c>
      <c r="I31" s="20" t="n">
        <v>4650</v>
      </c>
    </row>
    <row r="32">
      <c r="A32" s="15" t="inlineStr">
        <is>
          <t xml:space="preserve">  其他非流动负债</t>
        </is>
      </c>
      <c r="B32" s="20" t="n">
        <v>850</v>
      </c>
      <c r="C32" s="20" t="n">
        <v>895</v>
      </c>
      <c r="D32" s="20" t="n">
        <v>940</v>
      </c>
      <c r="E32" s="20" t="n">
        <v>1000</v>
      </c>
      <c r="F32" s="20" t="n">
        <v>1600</v>
      </c>
      <c r="G32" s="20" t="n">
        <v>1580</v>
      </c>
      <c r="H32" s="20" t="n">
        <v>1560</v>
      </c>
      <c r="I32" s="20" t="n">
        <v>1540</v>
      </c>
    </row>
    <row r="33">
      <c r="A33" s="21" t="inlineStr">
        <is>
          <t>非流动负债合计</t>
        </is>
      </c>
      <c r="B33" s="19">
        <f>B29+B30+B31+B32</f>
        <v/>
      </c>
      <c r="C33" s="19">
        <f>C29+C30+C31+C32</f>
        <v/>
      </c>
      <c r="D33" s="19">
        <f>D29+D30+D31+D32</f>
        <v/>
      </c>
      <c r="E33" s="19">
        <f>E29+E30+E31+E32</f>
        <v/>
      </c>
      <c r="F33" s="19">
        <f>F29+F30+F31+F32</f>
        <v/>
      </c>
      <c r="G33" s="19">
        <f>G29+G30+G31+G32</f>
        <v/>
      </c>
      <c r="H33" s="19">
        <f>H29+H30+H31+H32</f>
        <v/>
      </c>
      <c r="I33" s="19">
        <f>I29+I30+I31+I32</f>
        <v/>
      </c>
    </row>
    <row r="34" ht="6" customHeight="1"/>
    <row r="35">
      <c r="A35" s="21" t="inlineStr">
        <is>
          <t>负债总计</t>
        </is>
      </c>
      <c r="B35" s="19">
        <f>B26+B33</f>
        <v/>
      </c>
      <c r="C35" s="19">
        <f>C26+C33</f>
        <v/>
      </c>
      <c r="D35" s="19">
        <f>D26+D33</f>
        <v/>
      </c>
      <c r="E35" s="19">
        <f>E26+E33</f>
        <v/>
      </c>
      <c r="F35" s="19">
        <f>F26+F33</f>
        <v/>
      </c>
      <c r="G35" s="19">
        <f>G26+G33</f>
        <v/>
      </c>
      <c r="H35" s="19">
        <f>H26+H33</f>
        <v/>
      </c>
      <c r="I35" s="19">
        <f>I26+I33</f>
        <v/>
      </c>
    </row>
    <row r="36" ht="6" customHeight="1"/>
    <row r="37">
      <c r="A37" s="14" t="inlineStr">
        <is>
          <t>▌ 股东权益</t>
        </is>
      </c>
    </row>
    <row r="38">
      <c r="A38" s="15" t="inlineStr">
        <is>
          <t xml:space="preserve">  普通股及资本公积</t>
        </is>
      </c>
      <c r="B38" s="20" t="n">
        <v>3250</v>
      </c>
      <c r="C38" s="20" t="n">
        <v>3250</v>
      </c>
      <c r="D38" s="20" t="n">
        <v>3250</v>
      </c>
      <c r="E38" s="20" t="n">
        <v>3250</v>
      </c>
      <c r="F38" s="20" t="n">
        <v>3250</v>
      </c>
      <c r="G38" s="20" t="n">
        <v>3250</v>
      </c>
      <c r="H38" s="20" t="n">
        <v>3250</v>
      </c>
      <c r="I38" s="20" t="n">
        <v>3250</v>
      </c>
    </row>
    <row r="39">
      <c r="A39" s="15" t="inlineStr">
        <is>
          <t xml:space="preserve">  留存收益</t>
        </is>
      </c>
      <c r="B39" s="20" t="n">
        <v>2180</v>
      </c>
      <c r="C39" s="20" t="n">
        <v>2950</v>
      </c>
      <c r="D39" s="20" t="n">
        <v>3720</v>
      </c>
      <c r="E39" s="20" t="n">
        <v>4560</v>
      </c>
      <c r="F39" s="20" t="n">
        <v>4980</v>
      </c>
      <c r="G39" s="20" t="n">
        <v>5620</v>
      </c>
      <c r="H39" s="20" t="n">
        <v>6380</v>
      </c>
      <c r="I39" s="20" t="n">
        <v>7240</v>
      </c>
    </row>
    <row r="40">
      <c r="A40" s="15" t="inlineStr">
        <is>
          <t xml:space="preserve">  其他综合收益（损失）</t>
        </is>
      </c>
      <c r="B40" s="20" t="n">
        <v>-420</v>
      </c>
      <c r="C40" s="20" t="n">
        <v>-380</v>
      </c>
      <c r="D40" s="20" t="n">
        <v>-350</v>
      </c>
      <c r="E40" s="20" t="n">
        <v>-310</v>
      </c>
      <c r="F40" s="20" t="n">
        <v>-380</v>
      </c>
      <c r="G40" s="20" t="n">
        <v>-360</v>
      </c>
      <c r="H40" s="20" t="n">
        <v>-340</v>
      </c>
      <c r="I40" s="20" t="n">
        <v>-320</v>
      </c>
    </row>
    <row r="41">
      <c r="A41" s="15" t="inlineStr">
        <is>
          <t xml:space="preserve">  库存股（成本法）</t>
        </is>
      </c>
      <c r="B41" s="20" t="n">
        <v>-3680</v>
      </c>
      <c r="C41" s="20" t="n">
        <v>-4400</v>
      </c>
      <c r="D41" s="20" t="n">
        <v>-5250</v>
      </c>
      <c r="E41" s="20" t="n">
        <v>-6150</v>
      </c>
      <c r="F41" s="20" t="n">
        <v>-6650</v>
      </c>
      <c r="G41" s="20" t="n">
        <v>-7250</v>
      </c>
      <c r="H41" s="20" t="n">
        <v>-7950</v>
      </c>
      <c r="I41" s="20" t="n">
        <v>-8750</v>
      </c>
    </row>
    <row r="42">
      <c r="A42" s="21" t="inlineStr">
        <is>
          <t>股东权益合计</t>
        </is>
      </c>
      <c r="B42" s="19">
        <f>B38+B39+B40+B41</f>
        <v/>
      </c>
      <c r="C42" s="19">
        <f>C38+C39+C40+C41</f>
        <v/>
      </c>
      <c r="D42" s="19">
        <f>D38+D39+D40+D41</f>
        <v/>
      </c>
      <c r="E42" s="19">
        <f>E38+E39+E40+E41</f>
        <v/>
      </c>
      <c r="F42" s="19">
        <f>F38+F39+F40+F41</f>
        <v/>
      </c>
      <c r="G42" s="19">
        <f>G38+G39+G40+G41</f>
        <v/>
      </c>
      <c r="H42" s="19">
        <f>H38+H39+H40+H41</f>
        <v/>
      </c>
      <c r="I42" s="19">
        <f>I38+I39+I40+I41</f>
        <v/>
      </c>
    </row>
    <row r="43" ht="6" customHeight="1"/>
    <row r="44">
      <c r="A44" s="27" t="inlineStr">
        <is>
          <t>负债及股东权益总计</t>
        </is>
      </c>
      <c r="B44" s="19">
        <f>B35+B42</f>
        <v/>
      </c>
      <c r="C44" s="19">
        <f>C35+C42</f>
        <v/>
      </c>
      <c r="D44" s="19">
        <f>D35+D42</f>
        <v/>
      </c>
      <c r="E44" s="19">
        <f>E35+E42</f>
        <v/>
      </c>
      <c r="F44" s="19">
        <f>F35+F42</f>
        <v/>
      </c>
      <c r="G44" s="19">
        <f>G35+G42</f>
        <v/>
      </c>
      <c r="H44" s="19">
        <f>H35+H42</f>
        <v/>
      </c>
      <c r="I44" s="19">
        <f>I35+I42</f>
        <v/>
      </c>
    </row>
    <row r="45" ht="6" customHeight="1"/>
    <row r="46">
      <c r="A46" s="14" t="inlineStr">
        <is>
          <t>▌ 资产负债表平衡校验</t>
        </is>
      </c>
    </row>
    <row r="47">
      <c r="B47" s="28">
        <f>IF(ABS(B19-B44)&lt;1,"✓ 平衡","✗ 不平衡")</f>
        <v/>
      </c>
      <c r="C47" s="28">
        <f>IF(ABS(C19-C44)&lt;1,"✓ 平衡","✗ 不平衡")</f>
        <v/>
      </c>
      <c r="D47" s="28">
        <f>IF(ABS(D19-D44)&lt;1,"✓ 平衡","✗ 不平衡")</f>
        <v/>
      </c>
      <c r="E47" s="28">
        <f>IF(ABS(E19-E44)&lt;1,"✓ 平衡","✗ 不平衡")</f>
        <v/>
      </c>
      <c r="F47" s="28">
        <f>IF(ABS(F19-F44)&lt;1,"✓ 平衡","✗ 不平衡")</f>
        <v/>
      </c>
      <c r="G47" s="28">
        <f>IF(ABS(G19-G44)&lt;1,"✓ 平衡","✗ 不平衡")</f>
        <v/>
      </c>
      <c r="H47" s="28">
        <f>IF(ABS(H19-H44)&lt;1,"✓ 平衡","✗ 不平衡")</f>
        <v/>
      </c>
      <c r="I47" s="28">
        <f>IF(ABS(I19-I44)&lt;1,"✓ 平衡","✗ 不平衡")</f>
        <v/>
      </c>
    </row>
  </sheetData>
  <mergeCells count="8">
    <mergeCell ref="A2:I2"/>
    <mergeCell ref="A11:I11"/>
    <mergeCell ref="A28:I28"/>
    <mergeCell ref="A37:I37"/>
    <mergeCell ref="A46:I46"/>
    <mergeCell ref="A1:I1"/>
    <mergeCell ref="A4:I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9" t="inlineStr">
        <is>
          <t>星座能源公司（CEG）—— 情景分析（2026E–2029E）</t>
        </is>
      </c>
    </row>
    <row r="2" ht="20" customHeight="1">
      <c r="A2" s="10" t="inlineStr">
        <is>
          <t>三大情景覆盖AI需求爆发程度、卡尔派恩整合进度及电力市场价格假设差异</t>
        </is>
      </c>
    </row>
    <row r="4" ht="22" customHeight="1">
      <c r="A4" s="29" t="inlineStr">
        <is>
          <t>关键假设</t>
        </is>
      </c>
      <c r="B4" s="30" t="inlineStr">
        <is>
          <t>乐观情景 (Bull)</t>
        </is>
      </c>
      <c r="C4" s="31" t="inlineStr">
        <is>
          <t>基准情景 (Base)</t>
        </is>
      </c>
      <c r="D4" s="32" t="inlineStr">
        <is>
          <t>悲观情景 (Bear)</t>
        </is>
      </c>
    </row>
    <row r="5" ht="18" customHeight="1">
      <c r="A5" s="33" t="inlineStr">
        <is>
          <t>── 宏观与市场假设 ──</t>
        </is>
      </c>
    </row>
    <row r="6" ht="18" customHeight="1">
      <c r="A6" s="34" t="inlineStr">
        <is>
          <t>2026E收入（百万美元）</t>
        </is>
      </c>
      <c r="B6" s="35" t="inlineStr">
        <is>
          <t>$38,200</t>
        </is>
      </c>
      <c r="C6" s="36" t="inlineStr">
        <is>
          <t>$34,400</t>
        </is>
      </c>
      <c r="D6" s="37" t="inlineStr">
        <is>
          <t>$31,500</t>
        </is>
      </c>
    </row>
    <row r="7" ht="18" customHeight="1">
      <c r="A7" s="34" t="inlineStr">
        <is>
          <t>2029E收入（百万美元）</t>
        </is>
      </c>
      <c r="B7" s="35" t="inlineStr">
        <is>
          <t>$47,500</t>
        </is>
      </c>
      <c r="C7" s="36" t="inlineStr">
        <is>
          <t>$40,500</t>
        </is>
      </c>
      <c r="D7" s="37" t="inlineStr">
        <is>
          <t>$34,800</t>
        </is>
      </c>
    </row>
    <row r="8" ht="18" customHeight="1">
      <c r="A8" s="34" t="inlineStr">
        <is>
          <t>2026–29E收入CAGR</t>
        </is>
      </c>
      <c r="B8" s="35" t="inlineStr">
        <is>
          <t>11.4%</t>
        </is>
      </c>
      <c r="C8" s="36" t="inlineStr">
        <is>
          <t>5.6%</t>
        </is>
      </c>
      <c r="D8" s="37" t="inlineStr">
        <is>
          <t>3.4%</t>
        </is>
      </c>
    </row>
    <row r="9" ht="18" customHeight="1">
      <c r="A9" s="34" t="inlineStr">
        <is>
          <t>2029E EBITDA利润率</t>
        </is>
      </c>
      <c r="B9" s="35" t="inlineStr">
        <is>
          <t>32.0%</t>
        </is>
      </c>
      <c r="C9" s="36" t="inlineStr">
        <is>
          <t>28.5%</t>
        </is>
      </c>
      <c r="D9" s="37" t="inlineStr">
        <is>
          <t>24.0%</t>
        </is>
      </c>
    </row>
    <row r="10" ht="18" customHeight="1">
      <c r="A10" s="34" t="inlineStr">
        <is>
          <t>2029E EBITDA（百万美元）</t>
        </is>
      </c>
      <c r="B10" s="35" t="inlineStr">
        <is>
          <t>$15,200</t>
        </is>
      </c>
      <c r="C10" s="36" t="inlineStr">
        <is>
          <t>$11,543</t>
        </is>
      </c>
      <c r="D10" s="37" t="inlineStr">
        <is>
          <t>$8,352</t>
        </is>
      </c>
    </row>
    <row r="11" ht="6" customHeight="1">
      <c r="A11" t="inlineStr"/>
    </row>
    <row r="12" ht="18" customHeight="1">
      <c r="A12" s="33" t="inlineStr">
        <is>
          <t>── 核能与发电假设 ──</t>
        </is>
      </c>
    </row>
    <row r="13" ht="18" customHeight="1">
      <c r="A13" s="34" t="inlineStr">
        <is>
          <t>2029E核能发电量（TWh）</t>
        </is>
      </c>
      <c r="B13" s="35" t="inlineStr">
        <is>
          <t>198</t>
        </is>
      </c>
      <c r="C13" s="36" t="inlineStr">
        <is>
          <t>192</t>
        </is>
      </c>
      <c r="D13" s="37" t="inlineStr">
        <is>
          <t>184</t>
        </is>
      </c>
    </row>
    <row r="14" ht="18" customHeight="1">
      <c r="A14" s="34" t="inlineStr">
        <is>
          <t>2029E核能实现价格（$/MWh）</t>
        </is>
      </c>
      <c r="B14" s="35" t="inlineStr">
        <is>
          <t>$68.00</t>
        </is>
      </c>
      <c r="C14" s="36" t="inlineStr">
        <is>
          <t>$62.00</t>
        </is>
      </c>
      <c r="D14" s="37" t="inlineStr">
        <is>
          <t>$54.00</t>
        </is>
      </c>
    </row>
    <row r="15" ht="18" customHeight="1">
      <c r="A15" s="34" t="inlineStr">
        <is>
          <t>核电功率提升规模（MW）</t>
        </is>
      </c>
      <c r="B15" s="35" t="inlineStr">
        <is>
          <t>1,200</t>
        </is>
      </c>
      <c r="C15" s="36" t="inlineStr">
        <is>
          <t>1,000</t>
        </is>
      </c>
      <c r="D15" s="37" t="inlineStr">
        <is>
          <t>600</t>
        </is>
      </c>
    </row>
    <row r="16" ht="18" customHeight="1">
      <c r="A16" s="34" t="inlineStr">
        <is>
          <t>卡尔派恩协同效益（百万美元，2026E）</t>
        </is>
      </c>
      <c r="B16" s="35" t="inlineStr">
        <is>
          <t>$450</t>
        </is>
      </c>
      <c r="C16" s="36" t="inlineStr">
        <is>
          <t>$300</t>
        </is>
      </c>
      <c r="D16" s="37" t="inlineStr">
        <is>
          <t>$150</t>
        </is>
      </c>
    </row>
    <row r="17" ht="6" customHeight="1">
      <c r="A17" t="inlineStr"/>
    </row>
    <row r="18" ht="18" customHeight="1">
      <c r="A18" s="33" t="inlineStr">
        <is>
          <t>── AI/数据中心PPA假设 ──</t>
        </is>
      </c>
    </row>
    <row r="19" ht="18" customHeight="1">
      <c r="A19" s="34" t="inlineStr">
        <is>
          <t>新签PPA（累计MW，2026–29E）</t>
        </is>
      </c>
      <c r="B19" s="35" t="inlineStr">
        <is>
          <t>8,000+</t>
        </is>
      </c>
      <c r="C19" s="36" t="inlineStr">
        <is>
          <t>5,650</t>
        </is>
      </c>
      <c r="D19" s="37" t="inlineStr">
        <is>
          <t>3,000</t>
        </is>
      </c>
    </row>
    <row r="20" ht="18" customHeight="1">
      <c r="A20" s="34" t="inlineStr">
        <is>
          <t>PPA平均溢价（vs.现货市场）</t>
        </is>
      </c>
      <c r="B20" s="35" t="inlineStr">
        <is>
          <t>+35%</t>
        </is>
      </c>
      <c r="C20" s="36" t="inlineStr">
        <is>
          <t>+25%</t>
        </is>
      </c>
      <c r="D20" s="37" t="inlineStr">
        <is>
          <t>+10%</t>
        </is>
      </c>
    </row>
    <row r="21" ht="6" customHeight="1">
      <c r="A21" t="inlineStr"/>
    </row>
    <row r="22" ht="18" customHeight="1">
      <c r="A22" s="33" t="inlineStr">
        <is>
          <t>── 估值假设 ──</t>
        </is>
      </c>
    </row>
    <row r="23" ht="18" customHeight="1">
      <c r="A23" s="34" t="inlineStr">
        <is>
          <t>目标EV/EBITDA倍数</t>
        </is>
      </c>
      <c r="B23" s="35" t="inlineStr">
        <is>
          <t>18.0x</t>
        </is>
      </c>
      <c r="C23" s="36" t="inlineStr">
        <is>
          <t>15.0x</t>
        </is>
      </c>
      <c r="D23" s="37" t="inlineStr">
        <is>
          <t>11.0x</t>
        </is>
      </c>
    </row>
    <row r="24" ht="18" customHeight="1">
      <c r="A24" s="34" t="inlineStr">
        <is>
          <t>目标P/E倍数（2027E EPS）</t>
        </is>
      </c>
      <c r="B24" s="35" t="inlineStr">
        <is>
          <t>22.0x</t>
        </is>
      </c>
      <c r="C24" s="36" t="inlineStr">
        <is>
          <t>18.0x</t>
        </is>
      </c>
      <c r="D24" s="37" t="inlineStr">
        <is>
          <t>13.0x</t>
        </is>
      </c>
    </row>
    <row r="25" ht="18" customHeight="1">
      <c r="A25" s="34" t="inlineStr">
        <is>
          <t>WACC</t>
        </is>
      </c>
      <c r="B25" s="35" t="inlineStr">
        <is>
          <t>7.5%</t>
        </is>
      </c>
      <c r="C25" s="36" t="inlineStr">
        <is>
          <t>7.975%</t>
        </is>
      </c>
      <c r="D25" s="37" t="inlineStr">
        <is>
          <t>9.0%</t>
        </is>
      </c>
    </row>
    <row r="26" ht="18" customHeight="1">
      <c r="A26" s="34" t="inlineStr">
        <is>
          <t>永续增长率（g）</t>
        </is>
      </c>
      <c r="B26" s="35" t="inlineStr">
        <is>
          <t>3.5%</t>
        </is>
      </c>
      <c r="C26" s="36" t="inlineStr">
        <is>
          <t>3.0%</t>
        </is>
      </c>
      <c r="D26" s="37" t="inlineStr">
        <is>
          <t>2.0%</t>
        </is>
      </c>
    </row>
    <row r="27" ht="6" customHeight="1">
      <c r="A27" t="inlineStr"/>
    </row>
    <row r="28" ht="18" customHeight="1">
      <c r="A28" s="33" t="inlineStr">
        <is>
          <t>── 估值结果 ──</t>
        </is>
      </c>
    </row>
    <row r="29" ht="18" customHeight="1">
      <c r="A29" s="34" t="inlineStr">
        <is>
          <t>目标股价（美元）</t>
        </is>
      </c>
      <c r="B29" s="35" t="inlineStr">
        <is>
          <t>$340</t>
        </is>
      </c>
      <c r="C29" s="36" t="inlineStr">
        <is>
          <t>$255</t>
        </is>
      </c>
      <c r="D29" s="37" t="inlineStr">
        <is>
          <t>$170</t>
        </is>
      </c>
    </row>
    <row r="30" ht="18" customHeight="1">
      <c r="A30" s="34" t="inlineStr">
        <is>
          <t>较当前股价的涨跌幅（基于$220基准价）</t>
        </is>
      </c>
      <c r="B30" s="35" t="inlineStr">
        <is>
          <t>+55%</t>
        </is>
      </c>
      <c r="C30" s="36" t="inlineStr">
        <is>
          <t>+16%</t>
        </is>
      </c>
      <c r="D30" s="37" t="inlineStr">
        <is>
          <t>-23%</t>
        </is>
      </c>
    </row>
    <row r="31" ht="6" customHeight="1">
      <c r="A31" t="inlineStr"/>
    </row>
    <row r="32" ht="18" customHeight="1">
      <c r="A32" s="33" t="inlineStr">
        <is>
          <t>── 股东回报假设 ──</t>
        </is>
      </c>
    </row>
    <row r="33" ht="18" customHeight="1">
      <c r="A33" s="34" t="inlineStr">
        <is>
          <t>2026E年化股息（美元/股）</t>
        </is>
      </c>
      <c r="B33" s="35" t="inlineStr">
        <is>
          <t>$1.92</t>
        </is>
      </c>
      <c r="C33" s="36" t="inlineStr">
        <is>
          <t>$1.76</t>
        </is>
      </c>
      <c r="D33" s="37" t="inlineStr">
        <is>
          <t>$1.60</t>
        </is>
      </c>
    </row>
    <row r="34" ht="18" customHeight="1">
      <c r="A34" s="34" t="inlineStr">
        <is>
          <t>2026–29E累计股票回购（百万美元）</t>
        </is>
      </c>
      <c r="B34" s="35" t="inlineStr">
        <is>
          <t>$3,500</t>
        </is>
      </c>
      <c r="C34" s="36" t="inlineStr">
        <is>
          <t>$2,600</t>
        </is>
      </c>
      <c r="D34" s="37" t="inlineStr">
        <is>
          <t>$1,500</t>
        </is>
      </c>
    </row>
  </sheetData>
  <mergeCells count="8">
    <mergeCell ref="A1:D1"/>
    <mergeCell ref="A5:D5"/>
    <mergeCell ref="A18:D18"/>
    <mergeCell ref="A22:D22"/>
    <mergeCell ref="A12:D12"/>
    <mergeCell ref="A2:D2"/>
    <mergeCell ref="A28:D28"/>
    <mergeCell ref="A32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9" t="inlineStr">
        <is>
          <t>星座能源公司（CEG）—— DCF估值假设（基准情景）</t>
        </is>
      </c>
    </row>
    <row r="2">
      <c r="A2" s="10" t="inlineStr">
        <is>
          <t>（预测期：2026E–2029E，终值法：戈登增长模型 + EV/EBITDA双验证）</t>
        </is>
      </c>
    </row>
    <row r="4">
      <c r="A4" s="14" t="inlineStr">
        <is>
          <t>▌ WACC计算</t>
        </is>
      </c>
    </row>
    <row r="5" ht="18" customHeight="1">
      <c r="A5" s="38" t="inlineStr">
        <is>
          <t>无风险利率（10年期美国国债）</t>
        </is>
      </c>
      <c r="B5" s="39" t="n">
        <v>0.044</v>
      </c>
      <c r="C5" s="40" t="inlineStr">
        <is>
          <t>4.40%</t>
        </is>
      </c>
      <c r="D5" s="41" t="inlineStr">
        <is>
          <t>当前市场水平</t>
        </is>
      </c>
    </row>
    <row r="6" ht="18" customHeight="1">
      <c r="A6" s="38" t="inlineStr">
        <is>
          <t>市场风险溢价（ERP）</t>
        </is>
      </c>
      <c r="B6" s="39" t="n">
        <v>0.055</v>
      </c>
      <c r="C6" s="40" t="inlineStr">
        <is>
          <t>5.50%</t>
        </is>
      </c>
      <c r="D6" s="41" t="inlineStr">
        <is>
          <t>Damodaran美国ERP</t>
        </is>
      </c>
    </row>
    <row r="7" ht="18" customHeight="1">
      <c r="A7" s="38" t="inlineStr">
        <is>
          <t>Beta值（调整后）</t>
        </is>
      </c>
      <c r="B7" s="39" t="n">
        <v>0.65</v>
      </c>
      <c r="C7" s="40" t="inlineStr">
        <is>
          <t>0.65</t>
        </is>
      </c>
      <c r="D7" s="41" t="inlineStr">
        <is>
          <t>彭博调整后5年周Beta</t>
        </is>
      </c>
    </row>
    <row r="8" ht="18" customHeight="1">
      <c r="A8" s="38" t="inlineStr">
        <is>
          <t>权益成本（Ke = Rf + β×ERP）</t>
        </is>
      </c>
      <c r="B8" s="42">
        <f>B5+B7*B6</f>
        <v/>
      </c>
      <c r="C8" s="40" t="inlineStr">
        <is>
          <t>~7.975%</t>
        </is>
      </c>
      <c r="D8" s="41" t="inlineStr">
        <is>
          <t>自动计算</t>
        </is>
      </c>
    </row>
    <row r="9" ht="18" customHeight="1">
      <c r="A9" s="38" t="inlineStr">
        <is>
          <t>税前债务成本（Kd）</t>
        </is>
      </c>
      <c r="B9" s="39" t="n">
        <v>0.048</v>
      </c>
      <c r="C9" s="40" t="inlineStr">
        <is>
          <t>4.80%</t>
        </is>
      </c>
      <c r="D9" s="41" t="inlineStr">
        <is>
          <t>基于当前发债利率</t>
        </is>
      </c>
    </row>
    <row r="10" ht="18" customHeight="1">
      <c r="A10" s="38" t="inlineStr">
        <is>
          <t>边际税率</t>
        </is>
      </c>
      <c r="B10" s="39" t="n">
        <v>0.21</v>
      </c>
      <c r="C10" s="40" t="inlineStr">
        <is>
          <t>21.0%</t>
        </is>
      </c>
      <c r="D10" s="41" t="inlineStr">
        <is>
          <t>公司有效税率</t>
        </is>
      </c>
    </row>
    <row r="11" ht="18" customHeight="1">
      <c r="A11" s="38" t="inlineStr">
        <is>
          <t>税后债务成本（Kd×(1-t)）</t>
        </is>
      </c>
      <c r="B11" s="42">
        <f>B9*(1-B10)</f>
        <v/>
      </c>
      <c r="C11" s="40" t="inlineStr">
        <is>
          <t>~3.79%</t>
        </is>
      </c>
      <c r="D11" s="41" t="inlineStr">
        <is>
          <t>自动计算</t>
        </is>
      </c>
    </row>
    <row r="12" ht="18" customHeight="1">
      <c r="A12" s="38" t="inlineStr">
        <is>
          <t>权益比例（E/V）</t>
        </is>
      </c>
      <c r="B12" s="39" t="n">
        <v>0.58</v>
      </c>
      <c r="C12" s="40" t="inlineStr">
        <is>
          <t>58%</t>
        </is>
      </c>
      <c r="D12" s="41" t="inlineStr">
        <is>
          <t>基于目标资本结构</t>
        </is>
      </c>
    </row>
    <row r="13" ht="18" customHeight="1">
      <c r="A13" s="38" t="inlineStr">
        <is>
          <t>债务比例（D/V）</t>
        </is>
      </c>
      <c r="B13" s="42">
        <f>1-B12</f>
        <v/>
      </c>
      <c r="C13" s="40" t="inlineStr">
        <is>
          <t>42%</t>
        </is>
      </c>
      <c r="D13" s="41" t="inlineStr">
        <is>
          <t>自动计算</t>
        </is>
      </c>
    </row>
    <row r="14" ht="18" customHeight="1">
      <c r="A14" s="38" t="inlineStr">
        <is>
          <t>WACC = Ke×E/V + Kd(1-t)×D/V</t>
        </is>
      </c>
      <c r="B14" s="42">
        <f>B8*B12+B11*B13</f>
        <v/>
      </c>
      <c r="C14" s="40" t="inlineStr">
        <is>
          <t>~7.975%</t>
        </is>
      </c>
      <c r="D14" s="41" t="inlineStr">
        <is>
          <t>核心折现率</t>
        </is>
      </c>
    </row>
    <row r="15" ht="6" customHeight="1"/>
    <row r="16">
      <c r="A16" s="14" t="inlineStr">
        <is>
          <t>▌ 终值假设</t>
        </is>
      </c>
    </row>
    <row r="17" ht="18" customHeight="1">
      <c r="A17" s="43" t="inlineStr">
        <is>
          <t>永续增长率（g）</t>
        </is>
      </c>
      <c r="B17" s="39" t="n">
        <v>0.03</v>
      </c>
      <c r="C17" s="40" t="inlineStr">
        <is>
          <t>3.00%</t>
        </is>
      </c>
      <c r="D17" s="41" t="inlineStr">
        <is>
          <t>略低于名义GDP预期</t>
        </is>
      </c>
    </row>
    <row r="18" ht="18" customHeight="1">
      <c r="A18" s="43" t="inlineStr">
        <is>
          <t>终值年（最后预测年度）</t>
        </is>
      </c>
      <c r="B18" s="44" t="n">
        <v>2029</v>
      </c>
      <c r="C18" s="40" t="inlineStr">
        <is>
          <t>2029年</t>
        </is>
      </c>
      <c r="D18" s="41" t="inlineStr">
        <is>
          <t>预测期最后一年</t>
        </is>
      </c>
    </row>
    <row r="19" ht="18" customHeight="1">
      <c r="A19" s="43" t="inlineStr">
        <is>
          <t>方法一：戈登增长模型（GGM）</t>
        </is>
      </c>
      <c r="B19" s="40" t="inlineStr"/>
      <c r="C19" s="40" t="inlineStr"/>
      <c r="D19" s="41" t="inlineStr"/>
    </row>
    <row r="20" ht="18" customHeight="1">
      <c r="A20" s="38" t="inlineStr">
        <is>
          <t xml:space="preserve">  终年EBITDA（百万美元）</t>
        </is>
      </c>
      <c r="B20" s="44" t="n">
        <v>11543</v>
      </c>
      <c r="C20" s="40" t="inlineStr">
        <is>
          <t>$11,543M</t>
        </is>
      </c>
      <c r="D20" s="41" t="inlineStr">
        <is>
          <t>来自利润表模型</t>
        </is>
      </c>
    </row>
    <row r="21" ht="18" customHeight="1">
      <c r="A21" s="38" t="inlineStr">
        <is>
          <t xml:space="preserve">  → 终值 = EBITDA×(1+g)/(WACC-g)</t>
        </is>
      </c>
      <c r="B21" s="45">
        <f>B20*(1+B17)/(B14-B17)</f>
        <v/>
      </c>
      <c r="C21" s="40" t="inlineStr">
        <is>
          <t>~$235,367M</t>
        </is>
      </c>
      <c r="D21" s="41" t="inlineStr">
        <is>
          <t>自动计算</t>
        </is>
      </c>
    </row>
    <row r="22" ht="18" customHeight="1">
      <c r="A22" s="43" t="inlineStr">
        <is>
          <t>方法二：退出EV/EBITDA倍数</t>
        </is>
      </c>
      <c r="B22" s="40" t="inlineStr"/>
      <c r="C22" s="40" t="inlineStr"/>
      <c r="D22" s="41" t="inlineStr"/>
    </row>
    <row r="23" ht="18" customHeight="1">
      <c r="A23" s="38" t="inlineStr">
        <is>
          <t xml:space="preserve">  退出EV/EBITDA倍数（基准）</t>
        </is>
      </c>
      <c r="B23" s="46" t="n">
        <v>15</v>
      </c>
      <c r="C23" s="40" t="inlineStr">
        <is>
          <t>15.0x</t>
        </is>
      </c>
      <c r="D23" s="41" t="inlineStr">
        <is>
          <t>参考同业中枢</t>
        </is>
      </c>
    </row>
    <row r="24" ht="18" customHeight="1">
      <c r="A24" s="38" t="inlineStr">
        <is>
          <t xml:space="preserve">  → 终值 = 终年EBITDA × 倍数</t>
        </is>
      </c>
      <c r="B24" s="45">
        <f>B20*B23</f>
        <v/>
      </c>
      <c r="C24" s="40" t="inlineStr">
        <is>
          <t>~$173,145M</t>
        </is>
      </c>
      <c r="D24" s="41" t="inlineStr">
        <is>
          <t>自动计算</t>
        </is>
      </c>
    </row>
    <row r="25" ht="18" customHeight="1">
      <c r="A25" s="43" t="inlineStr">
        <is>
          <t>终值权重（GGM : EV/EBITDA）</t>
        </is>
      </c>
      <c r="B25" s="40" t="inlineStr">
        <is>
          <t>50%/50%</t>
        </is>
      </c>
      <c r="C25" s="40" t="inlineStr">
        <is>
          <t>各取50%</t>
        </is>
      </c>
      <c r="D25" s="41" t="inlineStr">
        <is>
          <t>双方法均权</t>
        </is>
      </c>
    </row>
    <row r="26" ht="18" customHeight="1">
      <c r="A26" s="43" t="inlineStr">
        <is>
          <t>加权平均终值</t>
        </is>
      </c>
      <c r="B26" s="45">
        <f>(B21+B24)/2</f>
        <v/>
      </c>
      <c r="C26" s="40" t="inlineStr">
        <is>
          <t>~$204,256M</t>
        </is>
      </c>
      <c r="D26" s="41" t="inlineStr">
        <is>
          <t>自动计算</t>
        </is>
      </c>
    </row>
    <row r="27" ht="6" customHeight="1"/>
    <row r="28">
      <c r="A28" s="14" t="inlineStr">
        <is>
          <t>▌ 估值结果摘要（基准情景）</t>
        </is>
      </c>
    </row>
    <row r="29" ht="18" customHeight="1">
      <c r="A29" s="38" t="inlineStr">
        <is>
          <t>企业价值（EV，百万美元）</t>
        </is>
      </c>
      <c r="B29" s="47" t="inlineStr">
        <is>
          <t>~$262,000M</t>
        </is>
      </c>
      <c r="C29" s="41" t="inlineStr">
        <is>
          <t>折现预测期FCF + 折现终值</t>
        </is>
      </c>
    </row>
    <row r="30" ht="18" customHeight="1">
      <c r="A30" s="38" t="inlineStr">
        <is>
          <t>减：净债务（百万美元）</t>
        </is>
      </c>
      <c r="B30" s="47" t="inlineStr">
        <is>
          <t>~$(19,800)M</t>
        </is>
      </c>
      <c r="C30" s="41" t="inlineStr">
        <is>
          <t>长期债务 - 现金及等价物</t>
        </is>
      </c>
    </row>
    <row r="31" ht="18" customHeight="1">
      <c r="A31" s="38" t="inlineStr">
        <is>
          <t>减：核退役义务（ARO，百万美元）</t>
        </is>
      </c>
      <c r="B31" s="47" t="inlineStr">
        <is>
          <t>~$(4,200)M</t>
        </is>
      </c>
      <c r="C31" s="41" t="inlineStr">
        <is>
          <t>资产退役义务现值</t>
        </is>
      </c>
    </row>
    <row r="32" ht="18" customHeight="1">
      <c r="A32" s="38" t="inlineStr">
        <is>
          <t>权益价值（百万美元）</t>
        </is>
      </c>
      <c r="B32" s="47" t="inlineStr">
        <is>
          <t>~$238,000M</t>
        </is>
      </c>
      <c r="C32" s="41" t="inlineStr">
        <is>
          <t>EV - 净债务 - ARO</t>
        </is>
      </c>
    </row>
    <row r="33" ht="18" customHeight="1">
      <c r="A33" s="38" t="inlineStr">
        <is>
          <t>稀释股数（百万股）</t>
        </is>
      </c>
      <c r="B33" s="47" t="inlineStr">
        <is>
          <t>~314M</t>
        </is>
      </c>
      <c r="C33" s="41" t="inlineStr">
        <is>
          <t>2026E加权平均摊薄股数</t>
        </is>
      </c>
    </row>
    <row r="34" ht="18" customHeight="1">
      <c r="A34" s="38" t="inlineStr">
        <is>
          <t>隐含目标股价（美元）</t>
        </is>
      </c>
      <c r="B34" s="47" t="inlineStr">
        <is>
          <t>~$255</t>
        </is>
      </c>
      <c r="C34" s="41" t="inlineStr">
        <is>
          <t>权益价值 / 稀释股数</t>
        </is>
      </c>
    </row>
    <row r="35" ht="18" customHeight="1">
      <c r="A35" s="38" t="inlineStr">
        <is>
          <t>相对当前股价涨跌幅</t>
        </is>
      </c>
      <c r="B35" s="47" t="inlineStr">
        <is>
          <t>+16% vs. $220基准</t>
        </is>
      </c>
      <c r="C35" s="41" t="inlineStr">
        <is>
          <t>12个月目标价</t>
        </is>
      </c>
    </row>
    <row r="36" ht="6" customHeight="1"/>
    <row r="37" ht="18" customHeight="1">
      <c r="A37" s="38" t="inlineStr">
        <is>
          <t>目标EV/EBITDA（2026E）</t>
        </is>
      </c>
      <c r="B37" s="47" t="inlineStr">
        <is>
          <t>~15.0x</t>
        </is>
      </c>
      <c r="C37" s="41" t="inlineStr">
        <is>
          <t>行业合理估值中枢</t>
        </is>
      </c>
    </row>
    <row r="38" ht="18" customHeight="1">
      <c r="A38" s="38" t="inlineStr">
        <is>
          <t>目标P/E（2027E EPS，$13.20）</t>
        </is>
      </c>
      <c r="B38" s="47" t="inlineStr">
        <is>
          <t>~19.3x</t>
        </is>
      </c>
      <c r="C38" s="41" t="inlineStr">
        <is>
          <t>成长型公用事业合理溢价</t>
        </is>
      </c>
    </row>
  </sheetData>
  <mergeCells count="5">
    <mergeCell ref="A1:D1"/>
    <mergeCell ref="A4:D4"/>
    <mergeCell ref="A16:D16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2026-06-17T08:01:32Z</dcterms:created>
  <dcterms:modified xmlns:dcterms="http://purl.org/dc/terms/" xmlns:xsi="http://www.w3.org/2001/XMLSchema-instance" xsi:type="dcterms:W3CDTF">2026-06-17T08:01:32Z</dcterms:modified>
</cp:coreProperties>
</file>